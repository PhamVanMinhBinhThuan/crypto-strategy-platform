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_TU_DANH_GIA" sheetId="1" r:id="rId4"/>
    <sheet state="visible" name="2_THANH_VIEN" sheetId="2" r:id="rId5"/>
    <sheet state="visible" name="3_CHECKLIST_DEMO" sheetId="3" r:id="rId6"/>
    <sheet state="visible" name="4_HUONG_DAN" sheetId="4" r:id="rId7"/>
    <sheet state="visible" name="5_DIEM_CONG_NANG_CAO" sheetId="5" r:id="rId8"/>
  </sheets>
  <definedNames/>
  <calcPr/>
  <extLst>
    <ext uri="GoogleSheetsCustomDataVersion2">
      <go:sheetsCustomData xmlns:go="http://customooxmlschemas.google.com/" r:id="rId9" roundtripDataChecksum="snW7K6OEkC+VRTb4jtP8B4bhitvYDeULZwvZNBHQPUs="/>
    </ext>
  </extLst>
</workbook>
</file>

<file path=xl/sharedStrings.xml><?xml version="1.0" encoding="utf-8"?>
<sst xmlns="http://schemas.openxmlformats.org/spreadsheetml/2006/main" count="604" uniqueCount="446">
  <si>
    <t>HƯỚNG DẪN SỬ DỤNG TEMPLATE</t>
  </si>
  <si>
    <t>CHECKLIST DEMO &amp; KIỂM TRA KIẾN TRÚC</t>
  </si>
  <si>
    <t>PHÂN CÔNG &amp; TỰ ĐÁNH GIÁ ĐÓNG GÓP THÀNH VIÊN</t>
  </si>
  <si>
    <t>TEMPLATE TỰ ĐÁNH GIÁ ĐỒ ÁN CUỐI KỲ – CRYPTO STRATEGY LAB</t>
  </si>
  <si>
    <t>Nhập phần trăm đóng góp theo tổng 100%. Ghi rõ module/công việc và minh chứng (commit, PR, file, video hoặc phần báo cáo) để tránh đánh giá cảm tính.</t>
  </si>
  <si>
    <t>1. Mục tiêu</t>
  </si>
  <si>
    <t>Dùng sheet này trước khi nộp và trước buổi demo. Mỗi bước nên có người phụ trách và minh chứng ngắn để demo không bị thiếu flow.</t>
  </si>
  <si>
    <t>Template giúp nhóm sinh viên tự kiểm tra trước khi nộp đồ án. Trọng tâm là chất lượng kiến trúc phần mềm và khả năng mở rộng/thay đổi của hệ thống, không phải chứng minh strategy kiếm tiền tốt.</t>
  </si>
  <si>
    <t>Bước</t>
  </si>
  <si>
    <t>2. Cách dùng nhanh</t>
  </si>
  <si>
    <t>(1) Điền thông tin/link ở sheet 1. (2) Điền đóng góp thành viên ở sheet 2. (3) Chấm từng tiêu chí mức 0–4 và dán minh chứng. (4) Sửa các dòng 'Thiếu minh chứng'. (5) Chạy toàn bộ checklist demo ở sheet 3.</t>
  </si>
  <si>
    <t>Tên đề tài</t>
  </si>
  <si>
    <t>Kịch bản demo end-to-end</t>
  </si>
  <si>
    <t>3. Thang điểm 0</t>
  </si>
  <si>
    <t>Kết quả mong đợi</t>
  </si>
  <si>
    <t>Chưa có chức năng/kiến trúc tương ứng hoặc không chạy được.</t>
  </si>
  <si>
    <t>Trạng thái</t>
  </si>
  <si>
    <t>4. Thang điểm 1</t>
  </si>
  <si>
    <t>STT</t>
  </si>
  <si>
    <t>crypto-strategy-platform</t>
  </si>
  <si>
    <t>Có prototype nhưng thiếu nhiều yêu cầu, coupling cao, không ổn định hoặc gần như chưa có minh chứng.</t>
  </si>
  <si>
    <t>Minh chứng</t>
  </si>
  <si>
    <t>MSSV</t>
  </si>
  <si>
    <t>5. Thang điểm 2</t>
  </si>
  <si>
    <t>Người phụ trách</t>
  </si>
  <si>
    <t>Họ và tên</t>
  </si>
  <si>
    <t>Đạt một phần; chạy được nhưng còn thiếu yêu cầu quan trọng hoặc chưa chứng minh rõ thiết kế.</t>
  </si>
  <si>
    <t>Ghi chú</t>
  </si>
  <si>
    <t>Vai trò chính</t>
  </si>
  <si>
    <t>6. Thang điểm 3</t>
  </si>
  <si>
    <t>Đạt yêu cầu cơ bản, demo được end-to-end và có minh chứng đủ để người chấm kiểm tra.</t>
  </si>
  <si>
    <t>Đóng góp (%)</t>
  </si>
  <si>
    <t>Link GitHub</t>
  </si>
  <si>
    <t>Công việc đã thực hiện</t>
  </si>
  <si>
    <t>7. Thang điểm 4</t>
  </si>
  <si>
    <t>Mở BTCUSDT với 4 timeframe</t>
  </si>
  <si>
    <t>Đạt tốt/vượt yêu cầu: thiết kế modular, thay đổi ít ảnh hưởng, ổn định, có đo lường/test/minh chứng rõ.</t>
  </si>
  <si>
    <t>4 chart realtime (ví dụ 5m | 15m | 1h | 4h) hiển thị ổn định.</t>
  </si>
  <si>
    <t>https://github.com/PhamVanMinhBinhThuan/crypto-strategy-platform</t>
  </si>
  <si>
    <t>8. Các chức năng bắt buộc cần rà soát</t>
  </si>
  <si>
    <t>Binance data; candlestick + realtime + tối đa 4 timeframe; ≥4 strategy; composite; backtest; Return/Win Rate/MDD/Trades; Random Search; Top-K; Buy/Sell + Entry/Exit; news collect/store/sentiment.</t>
  </si>
  <si>
    <t>9. Các câu hỏi kiến trúc nên trả lời</t>
  </si>
  <si>
    <t>Đạt</t>
  </si>
  <si>
    <t>Thêm strategy mới sửa gì? Đổi search algorithm có ảnh hưởng backtester không? Thêm provider mới frontend có đổi không? Scale 100→100.000 backtest ra sao? News lỗi chart còn chạy không? Đổi sentiment model ảnh hưởng gì? Binance disconnect phục hồi thế nào? Leaderboard trace strategy version ra sao?</t>
  </si>
  <si>
    <t>Nguyễn Tiến Luật</t>
  </si>
  <si>
    <t>10. Anti-pattern cần tránh</t>
  </si>
  <si>
    <t>Kiến trúc nền tảng, Public API/Realtime, Frontend Integration và QA</t>
  </si>
  <si>
    <t>Market Dashboard</t>
  </si>
  <si>
    <t>God Service; hard-coded strategy combinations; frontend chứa business logic/backtest/ranking; Strategy truy cập DB trực tiếp; crawler phụ thuộc chặt vào ML model.</t>
  </si>
  <si>
    <t>11. Phần nâng cao</t>
  </si>
  <si>
    <t>Xây dựng Java backend foundation; Public REST API, WebSocket, authentication/authorization, idempotency và correlation context; phát triển Market Dashboard, Strategy/News workspace; hardening F014, CI và evidence Sentiment/Provenance.</t>
  </si>
  <si>
    <t>Không tự cộng điểm chỉ vì dùng Redis/Kafka/Microservices/AI/Genetic/LLM. Chỉ chấm cao khi nhóm giải thích công nghệ giải quyết vấn đề kiến trúc nào và có minh chứng độ phức tạp/công sức.</t>
  </si>
  <si>
    <t>Commits: `e9f7eb4`, `7fb4154`, `1ae7b39`, `8d22afd`, `c547f47`, `0761a54`, `0d87e16`, `1d22f80`, `b298af5`. Files: `apps/api`, `apps/web`, `docs/evidence/f014`.</t>
  </si>
  <si>
    <t>12. Hồ sơ nộp</t>
  </si>
  <si>
    <t>Đóng góp xuyên module, tập trung vào tích hợp end-to-end và kiểm chứng.</t>
  </si>
  <si>
    <t>Source code; README (Install/Run/Architecture/Demo); Architecture Document; ADR; demo gồm realtime chart, multi-timeframe, strategy, combination, backtest, leaderboard, trade visualization, news và sentiment.</t>
  </si>
  <si>
    <t>Nguồn xây dựng template</t>
  </si>
  <si>
    <t>Crypto Strategy Lab – Đồ án cuối kỳ(3).pdf và file mẫu 22127480-22127211-Tự đánh giá.xlsx do người dùng cung cấp.</t>
  </si>
  <si>
    <t>Phạm Văn Minh</t>
  </si>
  <si>
    <t>Core Backend và kiến trúc Strategy–Backtest–Evaluation–Leaderboard</t>
  </si>
  <si>
    <t>13. Tự khai chức năng mở rộng / điểm cộng</t>
  </si>
  <si>
    <t>Dùng sheet 5_DIEM_CONG_NANG_CAO. Chỉ điền các mục nhóm thực sự triển khai vượt các chức năng/yêu cầu bắt buộc của đề bài; không cần điền tất cả.</t>
  </si>
  <si>
    <t>Hoàn thiện Strategy Plugin/Registry và MACD extension proof; Market Data recovery; deterministic Backtest, Evaluation, Leaderboard, fingerprint và reproduction lineage; Web authentication; README và tài liệu vấn đáp.</t>
  </si>
  <si>
    <t>Nhóm tiêu chí</t>
  </si>
  <si>
    <t>Commits: `53c6ea1`, `d4758d0`, `1e48a98`, `14c3d6e`, `f7fdf3d`, `e064e8b`, `f8e9680`, `5f12293`. Files: `modules/strategy-core`, `modules/backtesting`, `modules/evaluation`, `modules/leaderboard`, `modules/persistence`.</t>
  </si>
  <si>
    <t>14. Minh chứng nâng cao</t>
  </si>
  <si>
    <t>Mỗi mục nên có ít nhất: mô tả implementation, module liên quan, link code/commit/ADR, kịch bản demo và kết quả test/measurement.</t>
  </si>
  <si>
    <t xml:space="preserve"> Phụ trách chính Strategy Registry và Backtest–Leaderboard–Provenance.</t>
  </si>
  <si>
    <t>15. Quyền quyết định điểm cộng</t>
  </si>
  <si>
    <t>Sinh viên không tự cộng vào tổng điểm. Giảng viên xem xét mức độ vượt yêu cầu bắt buộc, chất lượng triển khai và minh chứng ở cột cuối của sheet 5.</t>
  </si>
  <si>
    <t>Điểm tối đa</t>
  </si>
  <si>
    <t>Đặng Nghi Văn</t>
  </si>
  <si>
    <t>Market Data, Search Coordinator, News/Sentiment và Persistence</t>
  </si>
  <si>
    <t>Nguyễn Tiến Luật; phối hợp Đặng Nghi Văn</t>
  </si>
  <si>
    <t>Điểm đạt</t>
  </si>
  <si>
    <t>Triển khai Market Data/Dataset và provider adapter; News/Sentiment Service bằng Python/FastAPI; Search Coordinator, Generator Registry, durable search schema, replaceability tests và persistence integration.</t>
  </si>
  <si>
    <t>Tiến Luật phụ trách Market Dashboard, frontend realtime và Public WebSocket API; Nghi Văn phụ trách Market Data/Binance adapter. Bảo đảm ảnh là phiên LIVE, thể hiện đủ bốn timeframe và trạng thái kết nối.</t>
  </si>
  <si>
    <t>Nhóm / Lớp</t>
  </si>
  <si>
    <t>Commits: `ef3fb5a`, `e2b9081`, `73d5cd4`, `0a065db`, `2e9cd3a`, `7195d2e`, `069a86f`. Files: `modules/market-data`, `modules/search`, `modules/news`, `apps/sentiment`, `apps/worker`.</t>
  </si>
  <si>
    <t>Phụ trách chính Search và News–Sentiment; phối hợp Market Data/Provenance.</t>
  </si>
  <si>
    <t>Chọn MA, RSI, Bollinger, Support/Resistance</t>
  </si>
  <si>
    <t>Các strategy được bật/chọn mà không ảnh hưởng module khác.</t>
  </si>
  <si>
    <t>Lớp 23KTPM01 - Nhóm 09</t>
  </si>
  <si>
    <t>Nguyễn Huỳnh Tiến</t>
  </si>
  <si>
    <t>Frontend/UI, Durable Experiment, Reliable Worker và Scalability</t>
  </si>
  <si>
    <t>Link video demo</t>
  </si>
  <si>
    <t>Xây dựng UI baseline; Experiment persistence/ownership; reliable Queue–Worker với retry/reclaim/idempotency; giao diện Experiment Result/Leaderboard; Composite Search và benchmark 100–10.000 Candidate.</t>
  </si>
  <si>
    <t>Commits: `f3fafba`, `f8d0126`, `67d174c`, `affd20c`, `50c28d9`, `9e320a5`, `beeb227`. Files: `apps/web`, `apps/worker`, `modules/experiment`, `docs/evidence/f015`.</t>
  </si>
  <si>
    <t>https://drive.google.com/drive/folders/12Tg8WE7-FiN0muv-9RtSavVMnm87NUbO?usp=sharing</t>
  </si>
  <si>
    <t>Phụ trách chính Worker reliability, scalability evidence và Search/Leaderboard UI.</t>
  </si>
  <si>
    <t>Phạm Văn Minh; phối hợp Nguyễn Tiến Luật</t>
  </si>
  <si>
    <t>Phạm Minh phụ trách Strategy Plugin/Registry và các strategy implementation; Tiến Luật phụ trách Strategy Workspace. Ảnh hiển thị đủ tên, version và parameter schema của bốn strategy.</t>
  </si>
  <si>
    <t>Bấm START SEARCH</t>
  </si>
  <si>
    <t>Search loop bắt đầu, có trạng thái chạy rõ ràng.</t>
  </si>
  <si>
    <t>Kiến trúc phần mềm</t>
  </si>
  <si>
    <t>Đặng Nghi Văn; phối hợp Nguyễn Huỳnh Tiến</t>
  </si>
  <si>
    <t>Nghi Văn phụ trách Search Coordinator và durable Search flow; Huỳnh Tiến phụ trách form cấu hình Search. Ghi thêm Experiment ID, generator, seed, maximumCandidates và requested concurrency.</t>
  </si>
  <si>
    <t>Quan sát candidate đang backtest</t>
  </si>
  <si>
    <t>Hiển thị candidate tested/current candidate/backtesting progress hoặc log tương đương.</t>
  </si>
  <si>
    <t>TỔNG ĐÓNG GÓP</t>
  </si>
  <si>
    <t>Nguyễn Huỳnh Tiến; phối hợp Đặng Nghi Văn</t>
  </si>
  <si>
    <t>Huỳnh Tiến phụ trách Reliable Worker và candidate progress UI; Nghi Văn phụ trách Search Coordinator. Thể hiện Candidate ID, completed/failed count, active window và trạng thái Job.</t>
  </si>
  <si>
    <t>Trưởng nhóm</t>
  </si>
  <si>
    <t>Quan sát Leaderboard cập nhật</t>
  </si>
  <si>
    <t>Top-K thay đổi khi candidate mới có score tốt hơn.</t>
  </si>
  <si>
    <t>Top K</t>
  </si>
  <si>
    <t>Link báo cáo</t>
  </si>
  <si>
    <t>Phạm Văn Minh; phối hợp Nguyễn Huỳnh Tiến</t>
  </si>
  <si>
    <t>Phạm Minh phụ trách Evaluation, Ranking và Leaderboard projection; Huỳnh Tiến phụ trách giao diện Leaderboard. Ghi Leaderboard Revision ID, ranking version và score trước/sau cập nhật.</t>
  </si>
  <si>
    <t>https://drive.google.com/file/d/1KoCSdKMvzQiuq7SGHPy_1lujfVGs40VH/view?usp=sharing</t>
  </si>
  <si>
    <t>Click Top strategy</t>
  </si>
  <si>
    <t>Chart hiển thị strategy, indicator/zone và Buy/Sell.</t>
  </si>
  <si>
    <t>Nguyễn Huỳnh Tiến; phối hợp Phạm Văn Minh và Nguyễn Tiến Luật</t>
  </si>
  <si>
    <t xml:space="preserve">UI có thể mở Result và hiển thị Buy/Sell/Trade. </t>
  </si>
  <si>
    <t>Chức năng yêu cầu</t>
  </si>
  <si>
    <t>Mở Trade Detail / Metrics</t>
  </si>
  <si>
    <t>Xem được trades, Return, Win Rate, MDD, Number of Trades.</t>
  </si>
  <si>
    <t>Ngày tự đánh giá</t>
  </si>
  <si>
    <t>Phối hợp Nguyễn Huỳnh Tiến, Phạm Minh phụ trách Backtest/Evaluation và bốn metric; Huỳnh Tiến phụ trách Result/Trade UI. Ảnh nên cho thấy Result ID và bảo đảm các metric, Trade Detail cùng thuộc một Result.</t>
  </si>
  <si>
    <t>Mở News</t>
  </si>
  <si>
    <t>Hiển thị tin BTC/coin liên quan và sentiment summary.</t>
  </si>
  <si>
    <t>Link hướng dẫn cài đặt</t>
  </si>
  <si>
    <t>https://github.com/PhamVanMinhBinhThuan/crypto-strategy-platform/blob/main/docs/SETUP.md</t>
  </si>
  <si>
    <t>Đặng Nghi Văn; phối hợp Nguyễn Tiến Luật</t>
  </si>
  <si>
    <t>Nghi Văn phụ trách News Collector và Sentiment Service; Tiến Luật phụ trách News Workspace và tích hợp API. Nên hiển thị source, published time, analysis status, label, confidence và model version.</t>
  </si>
  <si>
    <t>Tích hợp SentimentStrategy (nếu có)</t>
  </si>
  <si>
    <t>Sentiment có thể trở thành input/strategy mà không phá Strategy Engine.</t>
  </si>
  <si>
    <t>Chưa</t>
  </si>
  <si>
    <t>Chưa có</t>
  </si>
  <si>
    <t>Nguyễn Tiến Luật phụ trách đặc tả; Đặng Nghi Văn phụ trách Sentiment Service</t>
  </si>
  <si>
    <t>Hồ sơ &amp; tài liệu</t>
  </si>
  <si>
    <t xml:space="preserve">Repository có Sentiment Service độc lập nhưng chưa có production SentimentStrategy đăng ký trong StrategyRegistry. </t>
  </si>
  <si>
    <t>Chạy lại search/composite</t>
  </si>
  <si>
    <t>Có thể thử MA+RSI+Sentiment hoặc combination khác và tiếp tục vòng lặp.</t>
  </si>
  <si>
    <t>Search/composite</t>
  </si>
  <si>
    <t>Link deployment (nếu có)</t>
  </si>
  <si>
    <t>PHIẾU TỰ KHAI CHỨC NĂNG NÂNG CAO – GIẢNG VIÊN XEM XÉT ĐIỂM CỘNG</t>
  </si>
  <si>
    <t>Phạm Văn Minh, Đặng Nghi Văn và Nguyễn Huỳnh Tiến</t>
  </si>
  <si>
    <t>Demo &amp; độ tin cậy</t>
  </si>
  <si>
    <t>Composite kỹ thuật như MA+RSI/Bollinger đã được hỗ trợ qua Majority/Weighted Vote. Demo một Composite thực sự đã hỗ trợ và ghi component versions, policy version, Experiment ID.</t>
  </si>
  <si>
    <t>SCENARIO KIỂM TRA CHẤT LƯỢNG KIẾN TRÚC</t>
  </si>
  <si>
    <t>Thang tự đánh giá 0–4: 0 = chưa có/không chạy; 1 = rất thiếu; 2 = đạt một phần; 3 = đạt yêu cầu cơ bản và demo được; 4 = tốt/vượt yêu cầu, có minh chứng rõ.</t>
  </si>
  <si>
    <t>Mục đích: Nhóm chỉ khai những phần thực sự vượt các chức năng/yêu cầu bắt buộc của đề bài. Đây KHÔNG phải điểm tự động; giảng viên quyết định có cộng điểm hay không sau khi xem code, demo và minh chứng.</t>
  </si>
  <si>
    <t>#</t>
  </si>
  <si>
    <t>Scenario</t>
  </si>
  <si>
    <t>Điều cần chứng minh</t>
  </si>
  <si>
    <t>Nguyên tắc: Không được xem là nâng cao chỉ vì dùng công nghệ phức tạp. Nhóm phải nêu rõ: (1) đã làm gì; (2) giải quyết vấn đề kiến trúc nào; (3) vượt yêu cầu bắt buộc ở điểm nào; (4) minh chứng ở đâu; (5) demo/đo lường kết quả ra sao.</t>
  </si>
  <si>
    <t>Mở rộng có giá trị</t>
  </si>
  <si>
    <t>Thêm MACDStrategy</t>
  </si>
  <si>
    <t>Chỉ thêm class/plugin + register; không sửa nhiều controller/backtester/evaluator/UI.</t>
  </si>
  <si>
    <t>TÓM TẮT TỰ KHAI</t>
  </si>
  <si>
    <t xml:space="preserve">ADR-0005 quy định StrategyPlugin và StrategyRegistry là extension point. StrategyExtensionTest đăng ký MacdStrategyPluginFixture, resolve macd@1.0.0 và khởi tạo qua DefaultStrategyRegistry mà không thay đổi downstream. Foundation gate chạy 72/72 test thành công, gồm 32 architecture test, 15 Strategy Core test, 18 Strategy/Registry test và 7 contract test. </t>
  </si>
  <si>
    <t>Phạm Văn Minh, Nguyễn Huỳnh Tiến</t>
  </si>
  <si>
    <t>TỔNG</t>
  </si>
  <si>
    <t>Giá trị</t>
  </si>
  <si>
    <t>MACD hiện là MacdStrategyPluginFixture dùng để chứng minh extension point. “Đạt” áp dụng cho khả năng mở rộng kiến trúc.</t>
  </si>
  <si>
    <t>Đổi Random Search → Domain-guided/Genetic</t>
  </si>
  <si>
    <t>Số mục hoàn thành &amp; demo được</t>
  </si>
  <si>
    <t>Các component phía sau vẫn chỉ nhận CandidateStrategy; Backtester không phải sửa.</t>
  </si>
  <si>
    <t>GeneratorReplaceabilityTest đăng ký FixtureStrategyGenerator qua public factory, sinh Candidate deterministic và resolve theo generatorId/version. SearchGeneratorReplaceabilityTest dùng ArchUnit xác nhận Backtesting, Evaluation, Leaderboard và Experiment không phụ thuộc search.internal hoặc generator implementation; message contract cũng độc lập Search. Domain-guided/Genetic chưa được hiện thực, nhưng extension boundary đã được kiểm chứng bằng fixture generator.</t>
  </si>
  <si>
    <t>Đặng Nghi Văn, Nguyễn Huỳnh Tiến</t>
  </si>
  <si>
    <t>Thuật ngữ đúng là Candidate Definition. Domain-guided/Genetic chưa được triển khai; evidence chứng minh generator có thể thay qua contract mà downstream không đổi.</t>
  </si>
  <si>
    <t>Thêm Market Data Provider mới</t>
  </si>
  <si>
    <t>Frontend và Strategy Engine không phụ thuộc trực tiếp schema/provider cụ thể.</t>
  </si>
  <si>
    <t>TỔNG ĐIỂM / 100</t>
  </si>
  <si>
    <t xml:space="preserve">Module định nghĩa port MarketDataProvider; BinanceHistoricalProvider, BinanceStreamProvider và FixtureMarketDataProvider cùng triển khai port này. MarketDataModuleFactoryTest xác nhận toàn bộ use case được tạo chỉ từ public collaborator và không làm lộ kiểu .internal. API lựa chọn Binance/Fixture qua configuration, còn downstream chỉ sử dụng canonical Candle. </t>
  </si>
  <si>
    <t>Binance và Fixture chứng minh khả năng thay adapter, Fixture không phải exchange thực tế thứ hai.</t>
  </si>
  <si>
    <t>QUY ĐỔI / 10</t>
  </si>
  <si>
    <t>Binance WebSocket disconnect</t>
  </si>
  <si>
    <t>Có reconnect/retry và cơ chế tránh mất/nhảy dữ liệu bất hợp lý.</t>
  </si>
  <si>
    <t>TIÊU CHÍ ĐẠT (≥3)</t>
  </si>
  <si>
    <t>THIẾU MINH CHỨNG</t>
  </si>
  <si>
    <t>RealtimeRecoveryCoordinatorTest.reconnectsBackfillsGapAndSuppressesDuplicateOverlap mô phỏng disconnect, phát trạng thái RECONNECTING, kết nối lại, backfill vùng thiếu và thu được đúng các Candle tại phút 0, 1, 2 mà không lặp Candle overlap. Test thứ hai xác nhận retry có giới hạn với backoff 500 ms → 1 s → 2 s, sau đó chuyển DISCONNECTED. Frontend còn có realtime-reconnect.test.ts, market-realtime.test.tsx và Playwright failure-recovery test. Đây là controlled test.</t>
  </si>
  <si>
    <t>Số mục có minh chứng</t>
  </si>
  <si>
    <t>Nguyễn Tiến Luật, Phạm Văn Minh</t>
  </si>
  <si>
    <t>Đây là controlled test với Fake Provider/browser test.</t>
  </si>
  <si>
    <t>Nguyên tắc: đồ án tập trung vào KIẾN TRÚC PHẦN MỀM. Phải chứng minh công nghệ giải quyết vấn đề kiến trúc nào.</t>
  </si>
  <si>
    <t>News Service lỗi</t>
  </si>
  <si>
    <t>Chart/market data vẫn hoạt động; lỗi được cô lập và quan sát được.</t>
  </si>
  <si>
    <t xml:space="preserve">NewsDegradedIsolationTest xác nhận lỗi Sentiment chuyển trạng thái FAILED_RETRYABLE, News vẫn đọc được, chỉ retry sau 5 giây, sau đó chuyển ANALYZING → ANALYZED; Market Data mock có zero interaction. Playwright failure-recovery chạy 2/2 test thành công. External TensorFlow model cũng đã inference trước/sau khi stop–restart process. </t>
  </si>
  <si>
    <t>Nguyễn Tiến Luật, Đặng Nghi Văn</t>
  </si>
  <si>
    <t>Isolation, retry và TensorFlow restart đã được kiểm chứng.</t>
  </si>
  <si>
    <t>Trace một dòng Leaderboard</t>
  </si>
  <si>
    <t>Truy được strategy version, parameters, dataset/timeframe và trades đã tạo score.</t>
  </si>
  <si>
    <t>Nhóm nâng cao</t>
  </si>
  <si>
    <t>Chức năng/ý tưởng</t>
  </si>
  <si>
    <t>SearchReproductionIntegrationTest chạy với PostgreSQL thật, tạo và truy vết graph Leaderboard Revision → Evaluation Result → Backtest Result → Attempt → Candidate → Manifest → Dataset/Strategy. Reproduction tạo graph mới, giữ source snapshot bất biến và trả verdict MATCHED. Focused PostgreSQL suite đạt 4/4, persistence suite đạt 29/29. Evidence ghi đầy đủ source/reproduction Experiment ID, Result ID, Evaluation ID và Leaderboard Revision ID trong docs/evidence/f014/reproduction.md.</t>
  </si>
  <si>
    <t>Trong đề bài / mức tham chiếu</t>
  </si>
  <si>
    <t>Vấn đề cần giải quyết</t>
  </si>
  <si>
    <t>PostgreSQL evidence đã chứng minh provenance, source bất biến và verdict MATCHED. Các ID là test artifact do transaction rollback, screenshot authenticated Web.</t>
  </si>
  <si>
    <t>Nhóm đã triển khai cụ thể như thế nào?</t>
  </si>
  <si>
    <t>Scale số backtest</t>
  </si>
  <si>
    <t>Vượt yêu cầu bắt buộc ở điểm nào?</t>
  </si>
  <si>
    <t>Giải thích hoặc demo queue/worker/batch/concurrency khi tăng từ 100 lên nhiều candidate.</t>
  </si>
  <si>
    <t>Module/Component liên quan</t>
  </si>
  <si>
    <t>Minh chứng code / commit / ADR / ảnh</t>
  </si>
  <si>
    <t>Kịch bản demo</t>
  </si>
  <si>
    <t>F015 kiểm chứng ba mức: 100 Candidate trên PostgreSQL tạo đúng 100 Candidate, 100 fingerprint và 100 BACKTEST_JOB, peak active đúng 4, không duplicate; 1.000 Candidate cho cùng kết quả deterministic giữa cấu hình 2 và 8 Worker, profile rộng nhanh hơn khoảng 5.39×; 10.000 Candidate hoàn tất 10.000/10.000, peak active 6/8, pending tối đa 32 và heap tăng khoảng 70 MB, dưới giới hạn 256 MiB. F014 bổ sung benchmark concurrency 1 → 3 đạt median 2.527×, không timeout/duplicate. Đây là benchmark controlled/in-process.</t>
  </si>
  <si>
    <t>Kết quả đo lường / kiểm thử</t>
  </si>
  <si>
    <t>Đủ minh chứng?</t>
  </si>
  <si>
    <t>Tự đánh giá (0–3)</t>
  </si>
  <si>
    <t>Đây là controlled/in-process benchmark.</t>
  </si>
  <si>
    <t>Giảng viên nhận xét / điểm cộng</t>
  </si>
  <si>
    <t>Search &amp; Optimization</t>
  </si>
  <si>
    <t>Domain-guided Search</t>
  </si>
  <si>
    <t>Đề bài §17; Random Search là yêu cầu cơ bản, Domain-guided Search là phần vượt yêu cầu</t>
  </si>
  <si>
    <t>Giảm search vô nghĩa bằng domain knowledge; tách generator khỏi backtester.</t>
  </si>
  <si>
    <t>Hoàn thành nhưng chưa demo</t>
  </si>
  <si>
    <t>Đã tách StrategyGenerator/registry, chuẩn hóa state + observations và dùng fixture generator để chứng minh thay thuật toán. Chưa có domain-guided generator production.</t>
  </si>
  <si>
    <t>Vượt ở nền tảng thay search algorithm; chưa vượt ở thuật toán Domain-guided thực tế.</t>
  </si>
  <si>
    <t>modules/search; modules/experiment-execution; UI prototype</t>
  </si>
  <si>
    <t>https://github.com/PhamVanMinhBinhThuan/crypto-strategy-platform/blob/ef1ae919c06965895491868025dc8445deb46925/docs/adr/0010-strategy-generator-contract.md#L11 https://github.com/PhamVanMinhBinhThuan/crypto-strategy-platform/blob/ef1ae919c06965895491868025dc8445deb46925/docs/architecture/architecture-evidence.md#L51 https://github.com/PhamVanMinhBinhThuan/crypto-strategy-platform/blob/ef1ae919c06965895491868025dc8445deb46925/modules/search/src/main/java/com/cryptostrategy/platform/search/api/port/in/StrategyGenerator.java#L8 
https://github.com/PhamVanMinhBinhThuan/crypto-strategy-platform/blob/ef1ae919c06965895491868025dc8445deb46925/modules/search/src/test/java/com/cryptostrategy/platform/search/internal/GeneratorReplaceabilityTest.java#L21</t>
  </si>
  <si>
    <t>Đổi Random bằng fixture generator, chạy cùng contract và xác nhận downstream không đổi.</t>
  </si>
  <si>
    <t>Replaceability/unit test có; chưa có đo chất lượng hoặc hiệu quả Domain-guided Search.</t>
  </si>
  <si>
    <t>Có</t>
  </si>
  <si>
    <t>Tiêu chí</t>
  </si>
  <si>
    <t>Yêu cầu cần đạt / minh chứng nên có</t>
  </si>
  <si>
    <t>Mức tự đánh giá
(0–4)</t>
  </si>
  <si>
    <t>Genetic Algorithm</t>
  </si>
  <si>
    <t>Đề bài §18 và §38 – phần mở rộng</t>
  </si>
  <si>
    <t>Điểm quy đổi</t>
  </si>
  <si>
    <t>Tìm tổ hợp/parameter hiệu quả hơn khi không gian search lớn.</t>
  </si>
  <si>
    <t>Minh chứng / link(Có thể cập nhật đến hết ngày 4/9)</t>
  </si>
  <si>
    <t>Chưa làm</t>
  </si>
  <si>
    <t>Ghi chú / kế hoạch hoàn thiện</t>
  </si>
  <si>
    <t>Cảnh báo</t>
  </si>
  <si>
    <t>Không</t>
  </si>
  <si>
    <t>A. Kiến trúc phần mềm</t>
  </si>
  <si>
    <t>Khả năng mở rộng Strategy / Plugin</t>
  </si>
  <si>
    <t>Có abstraction/interface Strategy; thêm strategy mới (ví dụ MACD) với thay đổi tối thiểu; không hard-code if/else theo từng strategy.</t>
  </si>
  <si>
    <t>Evolutionary Search</t>
  </si>
  <si>
    <t>Tiến hóa candidate qua nhiều vòng thay vì random độc lập.</t>
  </si>
  <si>
    <t>Bayesian Optimization</t>
  </si>
  <si>
    <t>Tối ưu parameter với số lần backtest hạn chế.</t>
  </si>
  <si>
    <r>
      <rPr>
        <rFont val="Carlito"/>
        <color rgb="FF2563EB"/>
        <sz val="10.0"/>
        <u/>
      </rPr>
      <t xml:space="preserve">Mở rộng strategy
</t>
    </r>
    <r>
      <rPr>
        <rFont val="Carlito"/>
        <color rgb="FF1155CC"/>
        <sz val="10.0"/>
        <u/>
      </rPr>
      <t>https://github.com/PhamVanMinhBinhThuan/crypto-strategy-platform/blob/ef1ae919c06965895491868025dc8445deb46925/docs/adr/0005-strategy-plugin-registry.md#L155</t>
    </r>
    <r>
      <rPr>
        <rFont val="Carlito"/>
        <color rgb="FF1F1F1F"/>
        <sz val="10.0"/>
      </rPr>
      <t xml:space="preserve"> 
</t>
    </r>
    <r>
      <rPr>
        <rFont val="Carlito"/>
        <color rgb="FF1155CC"/>
        <sz val="10.0"/>
        <u/>
      </rPr>
      <t>https://github.com/PhamVanMinhBinhThuan/crypto-strategy-platform/blob/ef1ae919c06965895491868025dc8445deb46925/docs/adr/0005-strategy-plugin-registry.md#L184</t>
    </r>
    <r>
      <rPr>
        <rFont val="Carlito"/>
        <color rgb="FF1F1F1F"/>
        <sz val="10.0"/>
      </rPr>
      <t xml:space="preserve"> 
</t>
    </r>
    <r>
      <rPr>
        <rFont val="Carlito"/>
        <sz val="10.0"/>
      </rPr>
      <t xml:space="preserve">Architecture:
</t>
    </r>
    <r>
      <rPr>
        <rFont val="Carlito"/>
        <color rgb="FF1155CC"/>
        <sz val="10.0"/>
        <u/>
      </rPr>
      <t>https://github.com/PhamVanMinhBinhThuan/crypto-strategy-platform/blob/ef1ae919c06965895491868025dc8445deb46925/docs/architecture/module-view.md#L66</t>
    </r>
    <r>
      <rPr>
        <rFont val="Carlito"/>
        <sz val="10.0"/>
      </rPr>
      <t xml:space="preserve"> 
Implementation/Test</t>
    </r>
    <r>
      <rPr>
        <rFont val="Carlito"/>
        <color rgb="FF1155CC"/>
        <sz val="10.0"/>
        <u/>
      </rPr>
      <t xml:space="preserve">
https://github.com/PhamVanMinhBinhThuan/crypto-strategy-platform/blob/ef1ae919c06965895491868025dc8445deb46925/modules/strategy-core/src/main/java/com/cryptostrategy/platform/strategy/api/StrategyPlugin.java#L4</t>
    </r>
    <r>
      <rPr>
        <rFont val="Carlito"/>
        <sz val="10.0"/>
      </rPr>
      <t xml:space="preserve"> 
</t>
    </r>
    <r>
      <rPr>
        <rFont val="Carlito"/>
        <color rgb="FF1155CC"/>
        <sz val="10.0"/>
        <u/>
      </rPr>
      <t>https://github.com/PhamVanMinhBinhThuan/crypto-strategy-platform/blob/ef1ae919c06965895491868025dc8445deb46925/modules/strategy-core/src/main/java/com/cryptostrategy/platform/strategy/api/Strategy.java#L4</t>
    </r>
    <r>
      <rPr>
        <rFont val="Carlito"/>
        <sz val="10.0"/>
      </rPr>
      <t xml:space="preserve">
https://github.com/PhamVanMinhBinhThuan/crypto-strategy-platform/blob/ef1ae919c06965895491868025dc8445deb46925/modules/strategy-core/src/main/java/com/cryptostrategy/platform/strategy/internal/registry/DefaultStrategyRegistry.java#L34
https://github.com/PhamVanMinhBinhThuan/crypto-strategy-platform/blob/ef1ae919c06965895491868025dc8445deb46925/modules/strategies/src/main/java/com/cryptostrategy/platform/strategies/api/StrategyPlugins.java#L15
</t>
    </r>
    <r>
      <rPr>
        <rFont val="Carlito"/>
        <color rgb="FF1155CC"/>
        <sz val="10.0"/>
        <u/>
      </rPr>
      <t xml:space="preserve">https://github.com/PhamVanMinhBinhThuan/crypto-strategy-platform/blob/ef1ae919c06965895491868025dc8445deb46925/docs/evidence/f014/foundation-gates.md#L27
</t>
    </r>
  </si>
  <si>
    <t>Reinforcement Learning cho search</t>
  </si>
  <si>
    <t>Đề bài §18 – phần mở rộng</t>
  </si>
  <si>
    <t>Học chính sách tạo/chọn strategy candidate từ feedback evaluation.</t>
  </si>
  <si>
    <t>Đã kiểm chứng. Hệ thống có Strategy, StrategyPlugin, descriptor, parameter schema và DefaultStrategyRegistry. Bốn strategy dùng chung contract. MACD fixture được đăng ký qua extension point mà không sửa Backtester/Evaluator/Leaderboard. Foundation gate đạt 72/72 test.</t>
  </si>
  <si>
    <t>LLM-generated Strategy</t>
  </si>
  <si>
    <t>Đề bài §18 / §38 – phần mở rộng</t>
  </si>
  <si>
    <t>Dùng LLM đề xuất strategy/parameter/rule nhưng vẫn phải qua pipeline backtest-evaluate-rank.</t>
  </si>
  <si>
    <t>Tách trách nhiệm &amp; giảm coupling</t>
  </si>
  <si>
    <t>Agent-based Search</t>
  </si>
  <si>
    <t>Tổ chức agent tạo–kiểm tra–cải thiện candidate theo loop có kiểm soát.</t>
  </si>
  <si>
    <t>Strategy chỉ xử lý logic strategy; tách Market Data, Backtest, Evaluator, Ranking, News, Sentiment, UI; tránh God Service và business logic ở frontend.</t>
  </si>
  <si>
    <r>
      <rPr>
        <rFont val="Carlito"/>
        <color rgb="FF2563EB"/>
        <sz val="10.0"/>
        <u/>
      </rPr>
      <t xml:space="preserve">Mở rộng strategy
</t>
    </r>
    <r>
      <rPr>
        <rFont val="Carlito"/>
        <color rgb="FF1F1F1F"/>
        <sz val="10.0"/>
      </rPr>
      <t xml:space="preserve">ADR:
https://github.com/PhamVanMinhBinhThuan/crypto-strategy-platform/blob/ef1ae919c06965895491868025dc8445deb46925/docs/adr/0002-module-boundaries.md#L37
https://github.com/PhamVanMinhBinhThuan/crypto-strategy-platform/blob/ef1ae919c06965895491868025dc8445deb46925/docs/adr/0002-module-boundaries.md#L125
Architecture:
https://github.com/PhamVanMinhBinhThuan/crypto-strategy-platform/blob/ef1ae919c06965895491868025dc8445deb46925/docs/architecture/module-view.md#L40
https://github.com/PhamVanMinhBinhThuan/crypto-strategy-platform/blob/ef1ae919c06965895491868025dc8445deb46925/docs/architecture/container-view.md#L44
Implementation/Test:
https://github.com/PhamVanMinhBinhThuan/crypto-strategy-platform/blob/ef1ae919c06965895491868025dc8445deb46925/settings.gradle.kts#L16
https://github.com/PhamVanMinhBinhThuan/crypto-strategy-platform/blob/ef1ae919c06965895491868025dc8445deb46925/docs/evidence/f014/foundation-gates.md#L29
https://github.com/PhamVanMinhBinhThuan/crypto-strategy-platform/blob/ef1ae919c06965895491868025dc8445deb46925/apps/web/tests/architecture/f012-feature-boundaries.test.ts#L7
</t>
    </r>
    <r>
      <rPr>
        <rFont val="Carlito"/>
        <color rgb="FF1155CC"/>
        <sz val="10.0"/>
        <u/>
      </rPr>
      <t>https://github.com/PhamVanMinhBinhThuan/crypto-strategy-platform/blob/ef1ae919c06965895491868025dc8445deb46925/apps/web/tests/architecture/f013-boundaries.test.ts#L1</t>
    </r>
  </si>
  <si>
    <t>AlphaEvolve-style Optimization</t>
  </si>
  <si>
    <t>Tạo–đánh giá–giữ candidate tốt–biến đổi candidate theo vòng lặp.</t>
  </si>
  <si>
    <t>Kiểm chứng một phần. Backend được chia thành các capability module Market Data, Strategy, Search, Backtest, Evaluation, Leaderboard, News và Persistence; API và Worker là composition root riêng. Có 32 architecture test và frontend boundary test.</t>
  </si>
  <si>
    <t>Khả năng thay thế thành phần</t>
  </si>
  <si>
    <t>Có thể thay Random Search → Domain-guided/Genetic, Binance → provider khác, hoặc sentiment model mà không phải viết lại các module phía sau.</t>
  </si>
  <si>
    <t>Loop Engineering</t>
  </si>
  <si>
    <t>Thiết kế vòng Generate → Execute → Measure → Rank → Improve có stop condition và trace.</t>
  </si>
  <si>
    <t>Hoàn thành &amp; demo được</t>
  </si>
  <si>
    <t>Đã triển khai vòng Generate → Backtest → Evaluate → Rank với bounded in-flight, stop condition, durable decision/fencing, recovery và deterministic Top-K/reproduction.</t>
  </si>
  <si>
    <t>Vượt Random Search tối thiểu ở orchestration bền vững, trace tiến trình, resume sau lỗi và tái lập kết quả.</t>
  </si>
  <si>
    <t>modules/search; modules/experiment-execution; apps/worker; leaderboard</t>
  </si>
  <si>
    <r>
      <rPr>
        <rFont val="Carlito"/>
        <color rgb="FF2563EB"/>
        <sz val="10.0"/>
        <u/>
      </rPr>
      <t xml:space="preserve">Khả năng thay đổi search
</t>
    </r>
    <r>
      <rPr>
        <rFont val="Carlito"/>
        <color rgb="FF1F1F1F"/>
        <sz val="10.0"/>
      </rPr>
      <t xml:space="preserve">ADR:
https://github.com/PhamVanMinhBinhThuan/crypto-strategy-platform/blob/ef1ae919c06965895491868025dc8445deb46925/docs/adr/0003-market-data-adapter.md#L29
https://github.com/PhamVanMinhBinhThuan/crypto-strategy-platform/blob/ef1ae919c06965895491868025dc8445deb46925/docs/adr/0010-strategy-generator-contract.md#L31
https://github.com/PhamVanMinhBinhThuan/crypto-strategy-platform/blob/ef1ae919c06965895491868025dc8445deb46925/docs/adr/0008-sentiment-service-boundary.md#L135
Architecture: 
https://github.com/PhamVanMinhBinhThuan/crypto-strategy-platform/blob/ef1ae919c06965895491868025dc8445deb46925/docs/architecture/container-view.md#L44
https://github.com/PhamVanMinhBinhThuan/crypto-strategy-platform/blob/ef1ae919c06965895491868025dc8445deb46925/docs/architecture/architecture-evidence.md#L51
Implementation/Test:
https://github.com/PhamVanMinhBinhThuan/crypto-strategy-platform/blob/ef1ae919c06965895491868025dc8445deb46925/modules/market-data/src/main/java/com/cryptostrategy/platform/marketdata/api/port/out/MarketDataProvider.java#L11
https://github.com/PhamVanMinhBinhThuan/crypto-strategy-platform/blob/ef1ae919c06965895491868025dc8445deb46925/modules/market-data/src/main/java/com/cryptostrategy/platform/marketdata/internal/provider/binance/BinanceHistoricalProvider.java#L20
https://github.com/PhamVanMinhBinhThuan/crypto-strategy-platform/blob/ef1ae919c06965895491868025dc8445deb46925/modules/market-data/src/main/java/com/cryptostrategy/platform/marketdata/internal/provider/fixture/FixtureMarketDataProvider.java#L15
https://github.com/PhamVanMinhBinhThuan/crypto-strategy-platform/blob/ef1ae919c06965895491868025dc8445deb46925/modules/search/src/main/java/com/cryptostrategy/platform/search/api/port/in/StrategyGenerator.java#L8
https://github.com/PhamVanMinhBinhThuan/crypto-strategy-platform/blob/ef1ae919c06965895491868025dc8445deb46925/modules/search/src/main/java/com/cryptostrategy/platform/search/internal/StrategyGeneratorRegistry.java#L16
</t>
    </r>
    <r>
      <rPr>
        <rFont val="Carlito"/>
        <color rgb="FF1155CC"/>
        <sz val="10.0"/>
        <u/>
      </rPr>
      <t>https://github.com/PhamVanMinhBinhThuan/crypto-strategy-platform/blob/ef1ae919c06965895491868025dc8445deb46925/modules/news/src/main/java/com/cryptostrategy/platform/news/api/port/out/SentimentInferencePort.java#L7</t>
    </r>
  </si>
  <si>
    <t>https://github.com/PhamVanMinhBinhThuan/crypto-strategy-platform/blob/ef1ae919c06965895491868025dc8445deb46925/docs/adr/0016-search-coordinator-durable-orchestration.md#L18 https://github.com/PhamVanMinhBinhThuan/crypto-strategy-platform/blob/ef1ae919c06965895491868025dc8445deb46925/docs/architecture/data-flows.md https://github.com/PhamVanMinhBinhThuan/crypto-strategy-platform/blob/ef1ae919c06965895491868025dc8445deb46925/apps/worker/src/main/java/com/cryptostrategy/platform/worker/search/coordination/SearchCoordinator.java#L17 https://github.com/PhamVanMinhBinhThuan/crypto-strategy-platform/blob/ef1ae919c06965895491868025dc8445deb46925/modules/persistence/src/experimentIntegrationTest/java/com/cryptostrategy/platform/persistence/internal/experiment/SearchReproductionIntegrationTest.java#L25 https://github.com/PhamVanMinhBinhThuan/crypto-strategy-platform/blob/ef1ae919c06965895491868025dc8445deb46925/docs/evidence/f014/reproduction.md#L32</t>
  </si>
  <si>
    <t>Đã demo START SEARCH, candidate progress, Top-K cập nhật, chạy lại search/composite và trace/reproduce kết quả.</t>
  </si>
  <si>
    <t>Checklist demo đạt; PostgreSQL reproduction suite 4/4 và persistence suite 29/29, verdict reproduction MATCHED.</t>
  </si>
  <si>
    <t>Trading</t>
  </si>
  <si>
    <t>Long / Short</t>
  </si>
  <si>
    <t>Đề bài §38 – phần mở rộng</t>
  </si>
  <si>
    <t>Mở rộng mô hình giao dịch vượt Buy/Sell cơ bản, hỗ trợ vị thế hai chiều.</t>
  </si>
  <si>
    <t>Kiểm chứng một phần. Search Generator, Market Provider và Sentiment đều được bảo vệ bằng port/adapter hoặc registry. Fixture Generator và Fixture Market Provider chứng minh implementation có thể thay qua contract.</t>
  </si>
  <si>
    <t>Đang làm</t>
  </si>
  <si>
    <t>Backtester đã hỗ trợ vị thế LONG_ONLY: BUY mở một vị thế và SELL đóng vị thế, có fee/slippage và forced final close. Chưa có short-side state/PnL.</t>
  </si>
  <si>
    <t>Có execution model đầy đủ cho Long, nhưng chưa hoàn thành phần Short nên chưa thể nhận trọn mục Long / Short.</t>
  </si>
  <si>
    <t>modules/backtesting; strategy-core</t>
  </si>
  <si>
    <t>https://github.com/PhamVanMinhBinhThuan/crypto-strategy-platform/blob/ef1ae919c06965895491868025dc8445deb46925/docs/adr/0009-reproducible-experiments.md#L177 https://github.com/PhamVanMinhBinhThuan/crypto-strategy-platform/blob/ef1ae919c06965895491868025dc8445deb46925/docs/architecture/data-model-overview.md#L69 https://github.com/PhamVanMinhBinhThuan/crypto-strategy-platform/blob/ef1ae919c06965895491868025dc8445deb46925/modules/backtesting/src/main/java/com/cryptostrategy/platform/backtesting/api/model/PositionMode.java#L2 https://github.com/PhamVanMinhBinhThuan/crypto-strategy-platform/blob/ef1ae919c06965895491868025dc8445deb46925/modules/backtesting/src/test/java/com/cryptostrategy/platform/backtesting/internal/ExecutionStateMachineTest.java#L3</t>
  </si>
  <si>
    <t>Scalability &amp; Performance</t>
  </si>
  <si>
    <t>Đã demo Buy/Sell và Trade Detail cho luồng Long; chưa có kịch bản mở/đóng vị thế Short.</t>
  </si>
  <si>
    <t>Backtest và state-machine tests xác nhận LONG_ONLY; code hiện chưa hỗ trợ PositionSide.SHORT trong execution flow.</t>
  </si>
  <si>
    <t>Stop Loss</t>
  </si>
  <si>
    <t>Giải thích/triển khai hướng mở rộng từ hàng trăm lên nhiều candidate; có queue/worker hoặc giải pháp tương đương khi phù hợp; có đo thời gian backtest.</t>
  </si>
  <si>
    <t>Quản lý rủi ro ở mức trade; backtester cần mô phỏng rule thoát lệnh.</t>
  </si>
  <si>
    <r>
      <rPr>
        <rFont val="Carlito"/>
        <color rgb="FF2563EB"/>
        <sz val="10.0"/>
        <u/>
      </rPr>
      <t xml:space="preserve">Scalability and performance
</t>
    </r>
    <r>
      <rPr>
        <rFont val="Carlito"/>
        <color rgb="FF1F1F1F"/>
        <sz val="10.0"/>
      </rPr>
      <t xml:space="preserve">ADR: 
https://github.com/PhamVanMinhBinhThuan/crypto-strategy-platform/blob/ef1ae919c06965895491868025dc8445deb46925/docs/adr/0006-queue-worker-backtesting.md#L29
https://github.com/PhamVanMinhBinhThuan/crypto-strategy-platform/blob/ef1ae919c06965895491868025dc8445deb46925/docs/adr/0006-queue-worker-backtesting.md#L247
https://github.com/PhamVanMinhBinhThuan/crypto-strategy-platform/blob/ef1ae919c06965895491868025dc8445deb46925/docs/adr/0016-search-coordinator-durable-orchestration.md#L20
 Architecture: 
https://github.com/PhamVanMinhBinhThuan/crypto-strategy-platform/blob/ef1ae919c06965895491868025dc8445deb46925/docs/architecture/quality-attributes.md#L70
https://github.com/PhamVanMinhBinhThuan/crypto-strategy-platform/blob/ef1ae919c06965895491868025dc8445deb46925/docs/architecture/container-view.md#L44
Implementation/Test:
https://github.com/PhamVanMinhBinhThuan/crypto-strategy-platform/blob/ef1ae919c06965895491868025dc8445deb46925/modules/experiment-execution/src/main/java/com/cryptostrategy/platform/execution/internal/SearchStartCommandFactoryService.java#L79
https://github.com/PhamVanMinhBinhThuan/crypto-strategy-platform/blob/ef1ae919c06965895491868025dc8445deb46925/modules/experiment-execution/src/main/java/com/cryptostrategy/platform/execution/internal/SearchStartCommandFactoryService.java#L103
</t>
    </r>
    <r>
      <rPr>
        <rFont val="Carlito"/>
        <color rgb="FF1155CC"/>
        <sz val="10.0"/>
        <u/>
      </rPr>
      <t>https://github.com/PhamVanMinhBinhThuan/crypto-strategy-platform/blob/ef1ae919c06965895491868025dc8445deb46925/docs/evidence/f014/performance.md#L3</t>
    </r>
  </si>
  <si>
    <t>Take Profit</t>
  </si>
  <si>
    <t>Mô phỏng rule chốt lời và ảnh hưởng đến kết quả backtest.</t>
  </si>
  <si>
    <t>Đã kiểm chứng trong controlled benchmark. Queue–Worker, Consumer Group, bounded concurrency và in-flight limit đã được triển khai. Benchmark concurrency 1→3 đạt median 2.527×, hoàn tất 36/36 Candidate mỗi profile, không timeout hoặc duplicate.	Benchmark chạy trong một JVM, chưa bao gồm Redis, PostgreSQL, HTTP, network hoặc nhiều Worker process. Không diễn giải thành production SLA hoặc horizontal-scaling benchmark.</t>
  </si>
  <si>
    <t>Trailing Stop</t>
  </si>
  <si>
    <t>Rule thoát lệnh động theo biến động giá, phức tạp hơn stop cố định.</t>
  </si>
  <si>
    <t>Realtime &amp; Multi-timeframe</t>
  </si>
  <si>
    <t>Realtime flow rõ ràng (stream/WebSocket); tối đa 4 chart, mỗi chart đổi timeframe độc lập; frontend không phụ thuộc trực tiếp schema Binance.</t>
  </si>
  <si>
    <t>Position Sizing</t>
  </si>
  <si>
    <r>
      <rPr>
        <rFont val="Carlito"/>
        <sz val="10.0"/>
      </rPr>
      <t xml:space="preserve">ADR: </t>
    </r>
    <r>
      <rPr>
        <rFont val="Carlito"/>
        <color rgb="FF000000"/>
        <sz val="10.0"/>
        <u/>
      </rPr>
      <t xml:space="preserve">https://github.com/PhamVanMinhBinhThuan/crypto-strategy-platform/blob/ef1ae919c06965895491868025dc8445deb46925/docs/adr/0004-websocket-realtime.md#L41
</t>
    </r>
    <r>
      <rPr>
        <rFont val="Carlito"/>
        <color rgb="FF000000"/>
        <sz val="10.0"/>
      </rPr>
      <t xml:space="preserve">
Architecture
</t>
    </r>
    <r>
      <rPr>
        <rFont val="Carlito"/>
        <color rgb="FF000000"/>
        <sz val="10.0"/>
        <u/>
      </rPr>
      <t xml:space="preserve">https://github.com/PhamVanMinhBinhThuan/crypto-strategy-platform/blob/ef1ae919c06965895491868025dc8445deb46925/docs/architecture/data-flows.md#L54
https://github.com/PhamVanMinhBinhThuan/crypto-strategy-platform/blob/ef1ae919c06965895491868025dc8445deb46925/docs/architecture/quality-attributes.md#L122
</t>
    </r>
  </si>
  <si>
    <t>Quyết định kích thước vị thế thay vì giả định mỗi trade có cùng quy mô.</t>
  </si>
  <si>
    <t>Market</t>
  </si>
  <si>
    <t>Multiple Coins</t>
  </si>
  <si>
    <t>Kiểm chứng một phần. Có REST snapshot, WebSocket update, reconnect/reconcile và bốn chart giữ pair/timeframe độc lập. Frontend dùng canonical contract, không phụ thuộc trực tiếp Binance payload. Controlled browser và recovery test đã pass.</t>
  </si>
  <si>
    <t>Mở rộng từ một pair sang nhiều coin/pair mà không hard-code luồng xử lý.</t>
  </si>
  <si>
    <t>Reliability &amp; Observability</t>
  </si>
  <si>
    <t>Có xử lý disconnect/retry/reconnect, lỗi worker/job; theo dõi trạng thái loop, số candidate, thời gian backtest, job lỗi, Top-1 hiện tại.</t>
  </si>
  <si>
    <t>Multiple Exchanges</t>
  </si>
  <si>
    <t>Đề bài §38; liên quan Adapter ở §4</t>
  </si>
  <si>
    <t>Thêm OKX/Bybit/Coinbase... qua abstraction/provider mà frontend và core ít thay đổi.</t>
  </si>
  <si>
    <r>
      <rPr>
        <rFont val="Carlito"/>
        <sz val="10.0"/>
      </rPr>
      <t xml:space="preserve">ADR:
https://github.com/PhamVanMinhBinhThuan/crypto-strategy-platform/blob/ef1ae919c06965895491868025dc8445deb46925/docs/adr/0004-websocket-realtime.md#L157
https://github.com/PhamVanMinhBinhThuan/crypto-strategy-platform/blob/ef1ae919c06965895491868025dc8445deb46925/docs/adr/0006-queue-worker-backtesting.md#L229
https://github.com/PhamVanMinhBinhThuan/crypto-strategy-platform/blob/ef1ae919c06965895491868025dc8445deb46925/docs/adr/0007-postgresql-redis-ownership.md#L194Architecture:https://github.com/PhamVanMinhBinhThuan/crypto-strategy-platform/blob/ef1ae919c06965895491868025dc8445deb46925/docs/architecture/container-view.md#L79
https://github.com/PhamVanMinhBinhThuan/crypto-strategy-platform/blob/ef1ae919c06965895491868025dc8445deb46925/docs/architecture/data-flows.md#L287Implementation/Test:
https://github.com/PhamVanMinhBinhThuan/crypto-strategy-platform/blob/ef1ae919c06965895491868025dc8445deb46925/apps/web/src/foundation/realtime/reconnect-policy.ts#L1https://github.com/PhamVanMinhBinhThuan/crypto-strategy-platform/blob/ef1ae919c06965895491868025dc8445deb46925/apps/web/src/foundation/realtime/realtime-client.ts#L96
https://github.com/PhamVanMinhBinhThuan/crypto-strategy-platform/blob/ef1ae919c06965895491868025dc8445deb46925/apps/web/src/features/market/components/MarketDashboard.tsx#L90
https://github.com/PhamVanMinhBinhThuan/crypto-strategy-platform/blob/ef1ae919c06965895491868025dc8445deb46925/apps/web/tests/realtime/realtime-reconnect.test.ts#L1
https://github.com/PhamVanMinhBinhThuan/crypto-strategy-platform/blob/ef1ae919c06965895491868025dc8445deb46925/apps/web/tests/realtime/f013-subscription-lifecycle.test.tsx#L6
https://github.com/PhamVanMinhBinhThuan/crypto-strategy-platform/blob/ef1ae919c06965895491868025dc8445deb46925/docs/evidence/f014/failure-recovery.md#L10
</t>
    </r>
    <r>
      <rPr>
        <rFont val="Carlito"/>
        <color rgb="FF1155CC"/>
        <sz val="10.0"/>
        <u/>
      </rPr>
      <t>https://github.com/PhamVanMinhBinhThuan/crypto-strategy-platform/blob/ef1ae919c06965895491868025dc8445deb46925/docs/evidence/f014/failure-recovery.md#L18</t>
    </r>
  </si>
  <si>
    <t>Đã triển khai MarketDataProvider trung lập, Binance historical/realtime adapter và FixtureMarketDataProvider; chọn provider qua cấu hình.</t>
  </si>
  <si>
    <t>Chứng minh có thể thay provider mà Frontend, Strategy và Backtester vẫn dùng canonical Candle, không phụ thuộc schema Binance.</t>
  </si>
  <si>
    <t>modules/market-data; apps/api realtime; apps/web market</t>
  </si>
  <si>
    <t>https://github.com/PhamVanMinhBinhThuan/crypto-strategy-platform/blob/ef1ae919c06965895491868025dc8445deb46925/docs/adr/0003-market-data-adapter.md#L27 https://github.com/PhamVanMinhBinhThuan/crypto-strategy-platform/blob/ef1ae919c06965895491868025dc8445deb46925/docs/architecture/module-view.md https://github.com/PhamVanMinhBinhThuan/crypto-strategy-platform/blob/ef1ae919c06965895491868025dc8445deb46925/modules/market-data/src/main/java/com/cryptostrategy/platform/marketdata/api/port/out/MarketDataProvider.java https://github.com/PhamVanMinhBinhThuan/crypto-strategy-platform/blob/ef1ae919c06965895491868025dc8445deb46925/modules/market-data/src/test/java/com/cryptostrategy/platform/marketdata/internal/provider/binance/BinanceHistoricalProviderTest.java#L28</t>
  </si>
  <si>
    <t>Đã demo chuyển Binance sang fixture provider và xác nhận API/UI/Strategy contract không đổi.</t>
  </si>
  <si>
    <t>Checklist kiến trúc mục thêm Market Data Provider đạt; contract, mapper và factory tests chạy thành công.</t>
  </si>
  <si>
    <t>Machine Learning</t>
  </si>
  <si>
    <t>Sentiment mở rộng</t>
  </si>
  <si>
    <t>Kiểm chứng một phần. Có bounded reconnect, retry/backoff, Worker reclaim, durable deduplication, DLQ, progress state và correlation ID. Redis thật đã kiểm chứng reclaim không tạo outcome trùng; Sentiment stop/restart và controlled recovery đã pass.</t>
  </si>
  <si>
    <t>Đề bài đã yêu cầu collect/store/analyze sentiment; chỉ xem là mở rộng khi nhóm triển khai thêm, ví dụ tích hợp sentiment thành Strategy hoặc có đánh giá/thay thế mô hình rõ ràng.</t>
  </si>
  <si>
    <t>Chỉ nên khai điểm cộng nếu vượt pipeline sentiment cơ bản, ví dụ tích hợp thành Strategy hoặc có đánh giá/thay model rõ ràng.</t>
  </si>
  <si>
    <t>Đã tách Python/FastAPI inference service, đóng gói Keras model + vocabulary/manifest checksum, model version và readiness; Worker có timeout/retry/circuit breaker.</t>
  </si>
  <si>
    <t>Vượt sentiment cơ bản ở versioned ML runtime, thay model có kiểm soát, failure isolation và khả năng scale service độc lập.</t>
  </si>
  <si>
    <t>Reproducibility &amp; Versioning</t>
  </si>
  <si>
    <t>apps/sentiment; apps/worker news/sentiment; news-intelligence</t>
  </si>
  <si>
    <t>Strategy/experiment có version; một kết quả leaderboard truy vết được dataset, timeframe, parameters, strategy version và trade result.</t>
  </si>
  <si>
    <r>
      <rPr>
        <rFont val="Carlito"/>
        <sz val="11.0"/>
      </rPr>
      <t xml:space="preserve">https://github.com/PhamVanMinhBinhThuan/crypto-strategy-platform/blob/ef1ae919c06965895491868025dc8445deb46925/docs/adr/0008-sentiment-service-boundary.md#L32 https://github.com/PhamVanMinhBinhThuan/crypto-strategy-platform/blob/ef1ae919c06965895491868025dc8445deb46925/docs/architecture/container-view.md#L25 https://github.com/PhamVanMinhBinhThuan/crypto-strategy-platform/blob/ef1ae919c06965895491868025dc8445deb46925/apps/sentiment/app/model/runtime.py https://github.com/PhamVanMinhBinhThuan/crypto-strategy-platform/blob/ef1ae919c06965895491868025dc8445deb46925/apps/sentiment/tests/unit/test_model_runtime.py </t>
    </r>
    <r>
      <rPr>
        <rFont val="Carlito"/>
        <color rgb="FF1155CC"/>
        <sz val="11.0"/>
        <u/>
      </rPr>
      <t>https://github.com/PhamVanMinhBinhThuan/crypto-strategy-platform/blob/ef1ae919c06965895491868025dc8445deb46925/docs/evidence/f014/failure-recovery.md#L38</t>
    </r>
  </si>
  <si>
    <r>
      <rPr>
        <rFont val="Carlito"/>
        <sz val="10.0"/>
      </rPr>
      <t xml:space="preserve">ADR:
https://github.com/PhamVanMinhBinhThuan/crypto-strategy-platform/blob/ef1ae919c06965895491868025dc8445deb46925/docs/adr/0009-reproducible-experiments.md#L128
https://github.com/PhamVanMinhBinhThuan/crypto-strategy-platform/blob/ef1ae919c06965895491868025dc8445deb46925/docs/adr/0009-reproducible-experiments.md#L149
Architecture:
https://github.com/PhamVanMinhBinhThuan/crypto-strategy-platform/blob/ef1ae919c06965895491868025dc8445deb46925/docs/architecture/data-flows.md#L101
https://github.com/PhamVanMinhBinhThuan/crypto-strategy-platform/blob/ef1ae919c06965895491868025dc8445deb46925/docs/architecture/architecture-evidence.md#L91
Implementation/Test:
https://github.com/PhamVanMinhBinhThuan/crypto-strategy-platform/blob/ef1ae919c06965895491868025dc8445deb46925/modules/experiment/src/main/java/com/cryptostrategy/platform/experiment/api/ExperimentManifest.java#L1
https://github.com/PhamVanMinhBinhThuan/crypto-strategy-platform/blob/ef1ae919c06965895491868025dc8445deb46925/modules/strategy-core/src/main/java/com/cryptostrategy/platform/strategy/api/model/StrategyReference.java#L1
https://github.com/PhamVanMinhBinhThuan/crypto-strategy-platform/blob/ef1ae919c06965895491868025dc8445deb46925/apps/web/src/features/backtests/components/ResultEvidence.tsx#L4
https://github.com/PhamVanMinhBinhThuan/crypto-strategy-platform/blob/ef1ae919c06965895491868025dc8445deb46925/apps/web/src/features/backtests/components/ResultEvidence.tsx#L45
https://github.com/PhamVanMinhBinhThuan/crypto-strategy-platform/blob/ef1ae919c06965895491868025dc8445deb46925/apps/web/src/features/backtests/components/ResultEvidence.tsx#L105
</t>
    </r>
    <r>
      <rPr>
        <rFont val="Carlito"/>
        <color rgb="FF1155CC"/>
        <sz val="10.0"/>
        <u/>
      </rPr>
      <t>https://github.com/PhamVanMinhBinhThuan/crypto-strategy-platform/blob/ef1ae919c06965895491868025dc8445deb46925/docs/evidence/f014/reproduction.md#L42</t>
    </r>
  </si>
  <si>
    <t>Đã demo News/Sentiment, TensorFlow inference, stop–restart service và lỗi Sentiment không làm gián đoạn Market Data.</t>
  </si>
  <si>
    <t>Checklist demo đạt; Python/Java tests, NewsDegradedIsolation và Playwright recovery 2/2 đều thành công.</t>
  </si>
  <si>
    <t xml:space="preserve">Đã kiểm chứng. Manifest đóng băng Dataset checksum, Strategy version/parameters, assumptions và software identity. PostgreSQL reproduction tạo source/target graph mới, giữ source bất biến và trả verdict MATCHED; focused suite đạt 4/4 và persistence suite đạt 29/29.	Persistence/provenance không còn blocker. Nên bổ sung ảnh Result Evidence và reproduction verdict từ authenticated Web để trình bày trực quan.
</t>
  </si>
  <si>
    <t>B. Chức năng yêu cầu</t>
  </si>
  <si>
    <t>Price Prediction</t>
  </si>
  <si>
    <t>Market Data &amp; Candlestick</t>
  </si>
  <si>
    <t>Thêm mô hình dự báo giá/tín hiệu như một service/strategy mà không phá kiến trúc hiện có.</t>
  </si>
  <si>
    <t>Lấy historical + realtime data từ Binance; candlestick/volume hiển thị đúng; cập nhật liên tục và ổn định.</t>
  </si>
  <si>
    <t>ADR:
https://github.com/PhamVanMinhBinhThuan/crypto-strategy-platform/blob/ef1ae919c06965895491868025dc8445deb46925/docs/adr/0003-market-data-adapter.md#L29
https://github.com/PhamVanMinhBinhThuan/crypto-strategy-platform/blob/ef1ae919c06965895491868025dc8445deb46925/docs/adr/0004-websocket-realtime.md#L23
Architecture:
https://github.com/PhamVanMinhBinhThuan/crypto-strategy-platform/blob/ef1ae919c06965895491868025dc8445deb46925/docs/architecture/data-flows.md#L11
https://github.com/PhamVanMinhBinhThuan/crypto-strategy-platform/blob/ef1ae919c06965895491868025dc8445deb46925/docs/architecture/data-flows.md#L51
Implementation/Test:
https://github.com/PhamVanMinhBinhThuan/crypto-strategy-platform/blob/ef1ae919c06965895491868025dc8445deb46925/modules/market-data/src/main/java/com/cryptostrategy/platform/marketdata/internal/provider/binance/BinanceHistoricalProvider.java#L20
https://github.com/PhamVanMinhBinhThuan/crypto-strategy-platform/blob/ef1ae919c06965895491868025dc8445deb46925/modules/market-data/src/main/java/com/cryptostrategy/platform/marketdata/internal/provider/binance/BinanceStreamProvider.java#L21
https://github.com/PhamVanMinhBinhThuan/crypto-strategy-platform/blob/ef1ae919c06965895491868025dc8445deb46925/apps/web/src/features/market/components/MarketDashboard.tsx#L41
https://github.com/PhamVanMinhBinhThuan/crypto-strategy-platform/blob/ef1ae919c06965895491868025dc8445deb46925/apps/web/src/features/market/components/MarketDashboard.tsx#L90
https://github.com/PhamVanMinhBinhThuan/crypto-strategy-platform/blob/ef1ae919c06965895491868025dc8445deb46925/apps/web/src/features/market/components/CandleChart.tsx#L19
https://github.com/PhamVanMinhBinhThuan/crypto-strategy-platform/blob/ef1ae919c06965895491868025dc8445deb46925/apps/web/src/features/market/components/CandleChart.tsx#L36</t>
  </si>
  <si>
    <t>Market Regime Detection</t>
  </si>
  <si>
    <t>Kiểm chứng một phần. Có Binance historical/stream adapter, canonical Candle OHLCV, validation, retry và chart hiển thị candle/volume. Four-chart contract và controlled browser test đã pass.</t>
  </si>
  <si>
    <t>Nhận diện trend/range/volatility regime để hỗ trợ chọn/kết hợp strategy.</t>
  </si>
  <si>
    <t>Strategy Engine ≥ 4 strategy</t>
  </si>
  <si>
    <t>Có ít nhất 4 strategy đơn lẻ (ví dụ MA, RSI, Bollinger, Support/Resistance) theo một contract tín hiệu chuẩn BUY/SELL/HOLD hoặc tương đương.</t>
  </si>
  <si>
    <t>Architecture / Infrastructure</t>
  </si>
  <si>
    <t>Redis</t>
  </si>
  <si>
    <t>Chỉ có ý nghĩa nếu dùng cho cache/state/queue/pub-sub cụ thể và chứng minh lợi ích.</t>
  </si>
  <si>
    <r>
      <rPr>
        <rFont val="Carlito"/>
        <sz val="10.0"/>
      </rPr>
      <t xml:space="preserve">ADR:
https://github.com/PhamVanMinhBinhThuan/crypto-strategy-platform/blob/ef1ae919c06965895491868025dc8445deb46925/docs/adr/0005-strategy-plugin-registry.md#L34
https://github.com/PhamVanMinhBinhThuan/crypto-strategy-platform/blob/ef1ae919c06965895491868025dc8445deb46925/docs/adr/0005-strategy-plugin-registry.md#L155
Architecture: 
https://github.com/PhamVanMinhBinhThuan/crypto-strategy-platform/blob/ef1ae919c06965895491868025dc8445deb46925/docs/architecture/module-view.md#L59
https://github.com/PhamVanMinhBinhThuan/crypto-strategy-platform/blob/ef1ae919c06965895491868025dc8445deb46925/docs/architecture/data-flows.md#L91
Implementation/Test:
https://github.com/PhamVanMinhBinhThuan/crypto-strategy-platform/blob/ef1ae919c06965895491868025dc8445deb46925/modules/strategies/src/main/java/com/cryptostrategy/platform/strategies/api/StrategyPlugins.java#L15
https://github.com/PhamVanMinhBinhThuan/crypto-strategy-platform/blob/ef1ae919c06965895491868025dc8445deb46925/modules/strategy-core/src/main/java/com/cryptostrategy/platform/strategy/api/model/StrategySignal.java#L2
</t>
    </r>
    <r>
      <rPr>
        <rFont val="Carlito"/>
        <color rgb="FF1155CC"/>
        <sz val="10.0"/>
        <u/>
      </rPr>
      <t>https://github.com/PhamVanMinhBinhThuan/crypto-strategy-platform/blob/ef1ae919c06965895491868025dc8445deb46925/docs/evidence/f014/foundation-gates.md#L31</t>
    </r>
  </si>
  <si>
    <t>Redis Streams dùng cho queue/event với consumer groups, progress và cache; có pending reclaim, at-least-once + idempotency. PostgreSQL/Outbox giữ state bền vững.</t>
  </si>
  <si>
    <t>Redis giải quyết delivery, fan-out, recovery và transient state cụ thể; hệ thống vẫn bảo toàn dữ liệu khi Redis/Worker gián đoạn.</t>
  </si>
  <si>
    <t>apps/worker redis; modules/persistence outbox; apps/api realtime</t>
  </si>
  <si>
    <t>https://github.com/PhamVanMinhBinhThuan/crypto-strategy-platform/blob/ef1ae919c06965895491868025dc8445deb46925/docs/adr/0006-queue-worker-backtesting.md#L65 https://github.com/PhamVanMinhBinhThuan/crypto-strategy-platform/blob/ef1ae919c06965895491868025dc8445deb46925/docs/adr/0007-postgresql-redis-ownership.md#L63 https://github.com/PhamVanMinhBinhThuan/crypto-strategy-platform/blob/ef1ae919c06965895491868025dc8445deb46925/docs/architecture/container-view.md#L65 https://github.com/PhamVanMinhBinhThuan/crypto-strategy-platform/blob/ef1ae919c06965895491868025dc8445deb46925/apps/worker/src/test/java/com/cryptostrategy/platform/worker/engine/F014RecoveryScenarioTest.java#L41 https://github.com/PhamVanMinhBinhThuan/crypto-strategy-platform/blob/ef1ae919c06965895491868025dc8445deb46925/docs/evidence/f014/failure-recovery.md#L7</t>
  </si>
  <si>
    <t>Đã demo Worker crash/Redis reconnect: consumer khác reclaim message, Outbox republish và không tạo kết quả trùng.</t>
  </si>
  <si>
    <t>Redis thật: reclaim/dedup VERIFIED; realtime notification tiếp tục sau connection loss, stable job identity không bị nhân đôi.</t>
  </si>
  <si>
    <t>Đã kiểm chứng. Có MA Crossover, RSI, Bollinger Bands và Support/Resistance, cùng sử dụng StrategyPlugin và tín hiệu BUY/SELL/HOLD. Strategy/Registry suite đạt 18 test.</t>
  </si>
  <si>
    <t>Kafka / RabbitMQ</t>
  </si>
  <si>
    <t>Composite Strategy</t>
  </si>
  <si>
    <t>Tách producer/consumer, xử lý event/job bất đồng bộ; cần demo failure/retry/throughput nếu khai.</t>
  </si>
  <si>
    <t>Kết hợp được nhiều strategy; có quy tắc xử lý xung đột (majority vote, weighted combination hoặc phương pháp khác) và giải thích được.</t>
  </si>
  <si>
    <t>ADR:
https://github.com/PhamVanMinhBinhThuan/crypto-strategy-platform/blob/ef1ae919c06965895491868025dc8445deb46925/docs/adr/0005-strategy-plugin-registry.md#L215
https://github.com/PhamVanMinhBinhThuan/crypto-strategy-platform/blob/ef1ae919c06965895491868025dc8445deb46925/docs/adr/0009-reproducible-experiments.md#L134
Architecture:
https://github.com/PhamVanMinhBinhThuan/crypto-strategy-platform/blob/ef1ae919c06965895491868025dc8445deb46925/docs/architecture/data-flows.md#L91
Implementation/Test:
https://github.com/PhamVanMinhBinhThuan/crypto-strategy-platform/blob/ef1ae919c06965895491868025dc8445deb46925/modules/combination/src/main/java/com/cryptostrategy/platform/combination/internal/CompositeStrategy.java#L11
https://github.com/PhamVanMinhBinhThuan/crypto-strategy-platform/blob/ef1ae919c06965895491868025dc8445deb46925/modules/combination/src/main/java/com/cryptostrategy/platform/combination/internal/MajorityVotePolicy.java#L8
https://github.com/PhamVanMinhBinhThuan/crypto-strategy-platform/blob/ef1ae919c06965895491868025dc8445deb46925/modules/combination/src/main/java/com/cryptostrategy/platform/combination/internal/MajorityVotePolicy.java#L20
https://github.com/PhamVanMinhBinhThuan/crypto-strategy-platform/blob/ef1ae919c06965895491868025dc8445deb46925/modules/combination/src/test/java/com/cryptostrategy/platform/combination/internal/MajorityVotePolicyTest.java#L9</t>
  </si>
  <si>
    <t>Kiểm chứng một phần. Composite Strategy kết hợp nhiều component qua Majority Vote; tie được xử lý thành HOLD. Có parameter validation, versioned definition và automated test.</t>
  </si>
  <si>
    <t>Worker Pool</t>
  </si>
  <si>
    <t>Đề bài §38; liên quan scalability §43</t>
  </si>
  <si>
    <t>Chạy backtest song song, scale số candidate; nên có số liệu thời gian/throughput.</t>
  </si>
  <si>
    <t>Worker dùng fixed thread pool + semaphore, concurrency cấu hình được; Search giới hạn in-flight theo experiment và Redis consumer group hỗ trợ scale-out.</t>
  </si>
  <si>
    <t>Vượt xử lý tuần tự bằng parallel backtest có giới hạn, backpressure, deterministic result và duplicate safety.</t>
  </si>
  <si>
    <t>apps/worker engine/config; modules/experiment-execution; Redis consumer group</t>
  </si>
  <si>
    <t>Backtesting Engine</t>
  </si>
  <si>
    <t>https://github.com/PhamVanMinhBinhThuan/crypto-strategy-platform/blob/ef1ae919c06965895491868025dc8445deb46925/docs/adr/0006-queue-worker-backtesting.md#L256 https://github.com/PhamVanMinhBinhThuan/crypto-strategy-platform/blob/ef1ae919c06965895491868025dc8445deb46925/docs/architecture/quality-attributes.md#L70 https://github.com/PhamVanMinhBinhThuan/crypto-strategy-platform/blob/ef1ae919c06965895491868025dc8445deb46925/apps/worker/src/main/java/com/cryptostrategy/platform/worker/engine/BacktestExecutionPipeline.java#L16 https://github.com/PhamVanMinhBinhThuan/crypto-strategy-platform/blob/ef1ae919c06965895491868025dc8445deb46925/apps/api/src/test/java/com/cryptostrategy/platform/api/performance/F014DemoPerformanceTest.java#L55 https://github.com/PhamVanMinhBinhThuan/crypto-strategy-platform/blob/ef1ae919c06965895491868025dc8445deb46925/docs/evidence/f014/performance.md#L3</t>
  </si>
  <si>
    <t>Đã demo scale workload với các cấu hình concurrency/Worker khác nhau và kiểm tra số lượng candidate, pending, duplicate và memory.</t>
  </si>
  <si>
    <t>Giả lập giao dịch trên historical data; sinh được entry/exit/trades; tách backtest khỏi strategy implementation.</t>
  </si>
  <si>
    <t>Checklist scale đạt: 100, 1.000 và 10.000 candidate; profile rộng nhanh hơn khoảng 5,39×. F014 concurrency 1→3 đạt median 2,527×, 0 timeout/duplicate.</t>
  </si>
  <si>
    <t>Microservices</t>
  </si>
  <si>
    <r>
      <rPr>
        <rFont val="Carlito"/>
        <sz val="10.0"/>
      </rPr>
      <t xml:space="preserve">ADR:
https://github.com/PhamVanMinhBinhThuan/crypto-strategy-platform/blob/ef1ae919c06965895491868025dc8445deb46925/docs/adr/0006-queue-worker-backtesting.md#L9
https://github.com/PhamVanMinhBinhThuan/crypto-strategy-platform/blob/ef1ae919c06965895491868025dc8445deb46925/docs/adr/0013-backtest-execution-integration.md#L11
https://github.com/PhamVanMinhBinhThuan/crypto-strategy-platform/blob/ef1ae919c06965895491868025dc8445deb46925/docs/adr/0015-standalone-backtest-aggregate.md#L17
Architecture: 
https://github.com/PhamVanMinhBinhThuan/crypto-strategy-platform/blob/ef1ae919c06965895491868025dc8445deb46925/docs/architecture/data-flows.md#L91
Implementation/Test: 
https://github.com/PhamVanMinhBinhThuan/crypto-strategy-platform/blob/ef1ae919c06965895491868025dc8445deb46925/modules/backtesting/src/main/java/com/cryptostrategy/platform/backtesting/api/port/in/RunBacktestUseCase.java#L3
https://github.com/PhamVanMinhBinhThuan/crypto-strategy-platform/blob/ef1ae919c06965895491868025dc8445deb46925/modules/backtesting/src/main/java/com/cryptostrategy/platform/backtesting/internal/DeterministicBacktestEngine.java#L15
https://github.com/PhamVanMinhBinhThuan/crypto-strategy-platform/blob/ef1ae919c06965895491868025dc8445deb46925/modules/backtesting/src/main/java/com/cryptostrategy/platform/backtesting/api/model/Trade.java#L5
</t>
    </r>
    <r>
      <rPr>
        <rFont val="Carlito"/>
        <color rgb="FF1155CC"/>
        <sz val="10.0"/>
        <u/>
      </rPr>
      <t>https://github.com/PhamVanMinhBinhThuan/crypto-strategy-platform/blob/ef1ae919c06965895491868025dc8445deb46925/modules/backtesting/src/test/java/com/cryptostrategy/platform/backtesting/internal/DeterministicBacktestEngineTest.java#L5</t>
    </r>
  </si>
  <si>
    <t>Chỉ nên khai nếu việc tách service giải quyết coupling/deployment/scaling thực tế, không phải chỉ chia project.</t>
  </si>
  <si>
    <t>Sentiment được tách khỏi Java Modular Monolith thành Python/FastAPI runtime riêng, có Docker image, versioned HTTP contract, health/readiness, service token và model lifecycle độc lập. Service không truy cập shared database và không tự crawl URL; Worker là client chịu timeout/retry/circuit breaker.</t>
  </si>
  <si>
    <t>Việc tách service giải quyết khác biệt runtime Java/Python, TensorFlow dependency, model startup, resource profile và failure isolation; cho phép restart/deploy Sentiment mà không restart API/Market.</t>
  </si>
  <si>
    <t>apps/sentiment, modules/contracts, apps/worker/news/sentiment, infra/compose</t>
  </si>
  <si>
    <r>
      <rPr>
        <rFont val="Carlito"/>
        <sz val="11.0"/>
      </rPr>
      <t xml:space="preserve">https://github.com/PhamVanMinhBinhThuan/crypto-strategy-platform/blob/main/docs/adr/0008-sentiment-service-boundary.md
https://github.com/PhamVanMinhBinhThuan/crypto-strategy-platform/blob/main/apps/sentiment/app/main.py
https://github.com/PhamVanMinhBinhThuan/crypto-strategy-platform/blob/main/apps/sentiment/Dockerfile
</t>
    </r>
    <r>
      <rPr>
        <rFont val="Carlito"/>
        <color rgb="FF1155CC"/>
        <sz val="11.0"/>
        <u/>
      </rPr>
      <t>https://github.com/PhamVanMinhBinhThuan/crypto-strategy-platform/blob/main/docs/evidence/f014/failure-recovery.md</t>
    </r>
  </si>
  <si>
    <t>Kiểm chứng một phần. Deterministic Backtest Engine đọc historical Dataset, xử lý Strategy signals và sinh ordered Trade với Entry/Exit, fee, quantity, P/L và exit reason. Strategy và Backtester được tách bằng contract.</t>
  </si>
  <si>
    <t>Chạy API/Worker/Sentiment ở process riêng; gọi inference, dừng Sentiment, kiểm tra trạng thái degraded và Market không bị gọi/chặn; khởi động lại Sentiment và retry analysis.</t>
  </si>
  <si>
    <t>External TensorFlow process đã đạt READY, inference và stop/restart thành công. Backend isolation và controlled browser recovery pass; chưa có full authenticated outage timeline xuyên toàn hệ thống.</t>
  </si>
  <si>
    <t>Strategy Evaluation</t>
  </si>
  <si>
    <t>Tối thiểu có Return, Win Rate, Max Drawdown, Number of Trades; nên có Profit Factor/Sharpe; evaluator tách riêng.</t>
  </si>
  <si>
    <t>CQRS</t>
  </si>
  <si>
    <t>Tách mô hình ghi/đọc khi có lý do kiến trúc cụ thể; cần chỉ ra flow và trade-off.</t>
  </si>
  <si>
    <r>
      <rPr>
        <rFont val="Carlito"/>
        <sz val="10.0"/>
      </rPr>
      <t xml:space="preserve">ADR:
https://github.com/PhamVanMinhBinhThuan/crypto-strategy-platform/blob/ef1ae919c06965895491868025dc8445deb46925/docs/adr/0009-reproducible-experiments.md#L195
https://github.com/PhamVanMinhBinhThuan/crypto-strategy-platform/blob/ef1ae919c06965895491868025dc8445deb46925/docs/adr/0007-postgresql-redis-ownership.md#L55
Architecture: 
https://github.com/PhamVanMinhBinhThuan/crypto-strategy-platform/blob/ef1ae919c06965895491868025dc8445deb46925/docs/architecture/data-flows.md#L91
https://github.com/PhamVanMinhBinhThuan/crypto-strategy-platform/blob/ef1ae919c06965895491868025dc8445deb46925/docs/architecture/module-view.md#L59
 Implementation/Test:
https://github.com/PhamVanMinhBinhThuan/crypto-strategy-platform/blob/ef1ae919c06965895491868025dc8445deb46925/modules/evaluation/src/main/java/com/cryptostrategy/platform/evaluation/internal/MetricCalculator.java#L3
https://github.com/PhamVanMinhBinhThuan/crypto-strategy-platform/blob/ef1ae919c06965895491868025dc8445deb46925/modules/evaluation/src/main/java/com/cryptostrategy/platform/evaluation/internal/DeterministicEvaluator.java#L3
</t>
    </r>
    <r>
      <rPr>
        <rFont val="Carlito"/>
        <color rgb="FF1155CC"/>
        <sz val="10.0"/>
        <u/>
      </rPr>
      <t>https://github.com/PhamVanMinhBinhThuan/crypto-strategy-platform/blob/ef1ae919c06965895491868025dc8445deb46925/apps/web/src/features/backtests/components/ResultSummary.tsx#L7</t>
    </r>
  </si>
  <si>
    <t>Event Sourcing</t>
  </si>
  <si>
    <t>Lưu chuỗi event để trace/replay trạng thái; cần giải thích vì sao cần và demo khả năng truy vết/replay.</t>
  </si>
  <si>
    <t>Kiểm chứng một phần. Evaluator là module riêng và tính đủ Total Return, Win Rate, Maximum Drawdown và Number of Trades; kết quả gắn metric/ranking version.</t>
  </si>
  <si>
    <t>Strategy Search &amp; Stop Condition</t>
  </si>
  <si>
    <t>Plugin Architecture nâng cao</t>
  </si>
  <si>
    <t>Có ít nhất Random Search; generate → backtest → evaluate → rank; có điều kiện dừng rõ (số candidate/thời gian/no-improvement).</t>
  </si>
  <si>
    <t>Plugin/extensibility là trọng tâm xuyên suốt đề bài; §38 cũng liệt kê Plugin Architecture</t>
  </si>
  <si>
    <t>Không tự động là điểm cộng nếu chỉ đáp ứng core. Chỉ khai khi có phần vượt yêu cầu, ví dụ đăng ký/loading plugin thực sự và chứng minh thay đổi tối thiểu.</t>
  </si>
  <si>
    <t>Đã có trusted StrategyPlugin registry, descriptor/schema/version, duplicate identity check và durable catalog integrity cho MA, RSI, Bollinger và Support/Resistance.</t>
  </si>
  <si>
    <t>Thêm plugin/fixture mới qua contract và registry mà không sửa Backtester, Evaluator, Leaderboard hay Search; UI đọc schema thay vì hard-code.</t>
  </si>
  <si>
    <t>modules/strategy-core; modules/strategies; modules/persistence; apps/api</t>
  </si>
  <si>
    <r>
      <rPr>
        <rFont val="Carlito"/>
        <sz val="10.0"/>
      </rPr>
      <t xml:space="preserve">ADR:
https://github.com/PhamVanMinhBinhThuan/crypto-strategy-platform/blob/ef1ae919c06965895491868025dc8445deb46925/docs/adr/0010-strategy-generator-contract.md#L120
https://github.com/PhamVanMinhBinhThuan/crypto-strategy-platform/blob/ef1ae919c06965895491868025dc8445deb46925/docs/adr/0010-strategy-generator-contract.md#L124
https://github.com/PhamVanMinhBinhThuan/crypto-strategy-platform/blob/ef1ae919c06965895491868025dc8445deb46925/docs/adr/0016-search-coordinator-durable-orchestration.md#L20
Architecture: 
https://github.com/PhamVanMinhBinhThuan/crypto-strategy-platform/blob/ef1ae919c06965895491868025dc8445deb46925/docs/architecture/data-flows.md#L117
https://github.com/PhamVanMinhBinhThuan/crypto-strategy-platform/blob/ef1ae919c06965895491868025dc8445deb46925/docs/architecture/quality-attributes.md#L37
Implementation/Test:
https://github.com/PhamVanMinhBinhThuan/crypto-strategy-platform/blob/ef1ae919c06965895491868025dc8445deb46925/modules/search/src/main/java/com/cryptostrategy/platform/search/internal/RandomStrategyGenerator.java#L26
https://github.com/PhamVanMinhBinhThuan/crypto-strategy-platform/blob/ef1ae919c06965895491868025dc8445deb46925/modules/search/src/main/java/com/cryptostrategy/platform/search/internal/RandomStrategyGenerator.java#L32
https://github.com/PhamVanMinhBinhThuan/crypto-strategy-platform/blob/ef1ae919c06965895491868025dc8445deb46925/modules/experiment-execution/src/main/java/com/cryptostrategy/platform/execution/internal/SearchStartCommandFactoryService.java#L74
</t>
    </r>
    <r>
      <rPr>
        <rFont val="Carlito"/>
        <color rgb="FF1155CC"/>
        <sz val="10.0"/>
        <u/>
      </rPr>
      <t>https://github.com/PhamVanMinhBinhThuan/crypto-strategy-platform/blob/ef1ae919c06965895491868025dc8445deb46925/modules/experiment-execution/src/main/java/com/cryptostrategy/platform/execution/internal/TrustedSearchCoordinationService.java#L63</t>
    </r>
  </si>
  <si>
    <r>
      <rPr>
        <rFont val="Carlito"/>
        <sz val="11.0"/>
      </rPr>
      <t xml:space="preserve">https://github.com/PhamVanMinhBinhThuan/crypto-strategy-platform/blob/ef1ae919c06965895491868025dc8445deb46925/docs/adr/0005-strategy-plugin-registry.md#L155 https://github.com/PhamVanMinhBinhThuan/crypto-strategy-platform/blob/ef1ae919c06965895491868025dc8445deb46925/docs/architecture/module-view.md#L66 https://github.com/PhamVanMinhBinhThuan/crypto-strategy-platform/blob/ef1ae919c06965895491868025dc8445deb46925/modules/strategy-core/src/main/java/com/cryptostrategy/platform/strategy/api/StrategyPlugin.java#L4 https://github.com/PhamVanMinhBinhThuan/crypto-strategy-platform/blob/ef1ae919c06965895491868025dc8445deb46925/modules/strategies/src/test/java/com/cryptostrategy/platform/strategies/api/StrategyPluginsTest.java#L20 </t>
    </r>
    <r>
      <rPr>
        <rFont val="Carlito"/>
        <color rgb="FF1155CC"/>
        <sz val="11.0"/>
        <u/>
      </rPr>
      <t>https://github.com/PhamVanMinhBinhThuan/crypto-strategy-platform/blob/ef1ae919c06965895491868025dc8445deb46925/docs/evidence/f014/foundation-gates.md#L27</t>
    </r>
  </si>
  <si>
    <t>Đã demo đăng ký MACD fixture qua StrategyPlugin/Registry, resolve version/schema và chạy downstream không cần sửa.</t>
  </si>
  <si>
    <t>Kiểm chứng một phần. Random Search có seed/state deterministic, bounded Search Space, maximum-candidate stop condition và luồng generate→backtest→evaluate→rank. Coordinator có durable decision và bounded in-flight.</t>
  </si>
  <si>
    <t>Checklist kiến trúc đạt; foundation gate 72/72 gồm architecture, Strategy Core, Registry và contract tests.</t>
  </si>
  <si>
    <t>Sáng tạo khác</t>
  </si>
  <si>
    <t>Leaderboard Top-K</t>
  </si>
  <si>
    <t>Hiển thị Top-K strategy; rank/sort theo metric hoặc overall score; candidate mới có thể cập nhật leaderboard.</t>
  </si>
  <si>
    <t>Ý tưởng nâng cao khác #1</t>
  </si>
  <si>
    <t>Nhóm tự đề xuất – phải liên quan trực tiếp mục tiêu đồ án</t>
  </si>
  <si>
    <t>Mô tả vấn đề thực tế/kiến trúc mà ý tưởng giải quyết.</t>
  </si>
  <si>
    <t>ADR:
https://github.com/PhamVanMinhBinhThuan/crypto-strategy-platform/blob/ef1ae919c06965895491868025dc8445deb46925/docs/adr/0007-postgresql-redis-ownership.md#L168
https://github.com/PhamVanMinhBinhThuan/crypto-strategy-platform/blob/ef1ae919c06965895491868025dc8445deb46925/docs/adr/0009-reproducible-experiments.md#L195
Architecture:
https://github.com/PhamVanMinhBinhThuan/crypto-strategy-platform/blob/ef1ae919c06965895491868025dc8445deb46925/docs/architecture/data-flows.md#L117
https://github.com/PhamVanMinhBinhThuan/crypto-strategy-platform/blob/ef1ae919c06965895491868025dc8445deb46925/docs/architecture/data-model-overview.md#L116
Implementation/Test:
https://github.com/PhamVanMinhBinhThuan/crypto-strategy-platform/blob/ef1ae919c06965895491868025dc8445deb46925/apps/web/src/features/leaderboard/hooks/useLeaderboard.ts#L11
https://github.com/PhamVanMinhBinhThuan/crypto-strategy-platform/blob/ef1ae919c06965895491868025dc8445deb46925/apps/web/src/features/leaderboard/hooks/useLeaderboardRealtime.ts#L53
https://github.com/PhamVanMinhBinhThuan/crypto-strategy-platform/blob/ef1ae919c06965895491868025dc8445deb46925/apps/web/tests/features/leaderboard/leaderboard-table.test.tsx#L1
https://github.com/PhamVanMinhBinhThuan/crypto-strategy-platform/blob/ef1ae919c06965895491868025dc8445deb46925/apps/web/tests/features/leaderboard/leaderboard-controls.test.tsx#L1</t>
  </si>
  <si>
    <t>Kiểm chứng một phần. Leaderboard có Top-K, overall score, deterministic ordering/tie-break, revision và cập nhật từ Candidate Evaluation. UI có query và realtime reconciliation.</t>
  </si>
  <si>
    <t>Visualization Strategy &amp; Trade</t>
  </si>
  <si>
    <t>Chart hiển thị Buy/Sell, Entry/Exit và indicator/zone liên quan; xem được trade detail và highlight giao dịch.</t>
  </si>
  <si>
    <t>Ý tưởng nâng cao khác #2</t>
  </si>
  <si>
    <r>
      <rPr>
        <rFont val="Carlito"/>
        <sz val="10.0"/>
      </rPr>
      <t xml:space="preserve">ADR:
https://github.com/PhamVanMinhBinhThuan/crypto-strategy-platform/blob/ef1ae919c06965895491868025dc8445deb46925/docs/adr/0009-reproducible-experiments.md#L306
https://github.com/PhamVanMinhBinhThuan/crypto-strategy-platform/blob/ef1ae919c06965895491868025dc8445deb46925/docs/adr/0005-strategy-plugin-registry.md#L94
Architecture: 
https://github.com/PhamVanMinhBinhThuan/crypto-strategy-platform/blob/ef1ae919c06965895491868025dc8445deb46925/docs/architecture/data-flows.md#L91
Implementation/Test:
https://github.com/PhamVanMinhBinhThuan/crypto-strategy-platform/blob/ef1ae919c06965895491868025dc8445deb46925/apps/web/src/features/backtests/components/TradeHistory.tsx#L2
https://github.com/PhamVanMinhBinhThuan/crypto-strategy-platform/blob/ef1ae919c06965895491868025dc8445deb46925/apps/web/src/features/backtests/components/TradeHistory.tsx#L17
</t>
    </r>
    <r>
      <rPr>
        <rFont val="Carlito"/>
        <color rgb="FF1155CC"/>
        <sz val="10.0"/>
        <u/>
      </rPr>
      <t>https://github.com/PhamVanMinhBinhThuan/crypto-strategy-platform/blob/ef1ae919c06965895491868025dc8445deb46925/apps/web/src/features/backtests/components/BacktestResultsView.tsx#L62</t>
    </r>
  </si>
  <si>
    <t>Ý tưởng nâng cao khác #3</t>
  </si>
  <si>
    <t>Kiểm chứng một phần. TradeHistory hiển thị Entry/Exit, side, giá, thời gian, fee, P/L và exit reason; Backtest Result có thể highlight giao dịch được chọn.</t>
  </si>
  <si>
    <t>News Collector</t>
  </si>
  <si>
    <t>Có pipeline collect → normalize → store; provider abstraction; NewsItem có các trường chính như title, content/source, publishedAt, relatedCoins, url.</t>
  </si>
  <si>
    <t>Ý tưởng nâng cao khác #4</t>
  </si>
  <si>
    <r>
      <rPr>
        <rFont val="Carlito"/>
        <color rgb="FF2563EB"/>
        <sz val="10.0"/>
        <u/>
      </rPr>
      <t xml:space="preserve">ADR: 
https://github.com/PhamVanMinhBinhThuan/crypto-strategy-platform/blob/ef1ae919c06965895491868025dc8445deb46925/docs/adr/0005-strategy-plugin-registry.md#L155
</t>
    </r>
    <r>
      <rPr>
        <rFont val="Carlito"/>
        <color rgb="FF1155CC"/>
        <sz val="10.0"/>
        <u/>
      </rPr>
      <t xml:space="preserve">https://github.com/PhamVanMinhBinhThuan/crypto-strategy-platform/blob/ef1ae919c06965895491868025dc8445deb46925/docs/adr/0005-strategy-plugin-registry.md#L184
</t>
    </r>
    <r>
      <rPr>
        <rFont val="Carlito"/>
        <sz val="10.0"/>
      </rPr>
      <t xml:space="preserve">Architecture:
https://github.com/PhamVanMinhBinhThuan/crypto-strategy-platform/blob/ef1ae919c06965895491868025dc8445deb46925/docs/architecture/data-flows.md#L186
https://github.com/PhamVanMinhBinhThuan/crypto-strategy-platform/blob/ef1ae919c06965895491868025dc8445deb46925/docs/architecture/module-view.md#L59
Implementation/Test: 
https://github.com/PhamVanMinhBinhThuan/crypto-strategy-platform/blob/ef1ae919c06965895491868025dc8445deb46925/modules/news/src/main/java/com/cryptostrategy/platform/news/api/port/out/NewsProvider.java#L8
https://github.com/PhamVanMinhBinhThuan/crypto-strategy-platform/blob/ef1ae919c06965895491868025dc8445deb46925/modules/news/src/main/java/com/cryptostrategy/platform/news/internal/provider/rss/RssNewsProvider.java#L13
https://github.com/PhamVanMinhBinhThuan/crypto-strategy-platform/blob/ef1ae919c06965895491868025dc8445deb46925/modules/news/src/main/java/com/cryptostrategy/platform/news/internal/application/NewsCollectionService.java#L13
https://github.com/PhamVanMinhBinhThuan/crypto-strategy-platform/blob/ef1ae919c06965895491868025dc8445deb46925/modules/news/src/main/java/com/cryptostrategy/platform/news/internal/normalization/CanonicalNewsNormalizer.java#L17
https://github.com/PhamVanMinhBinhThuan/crypto-strategy-platform/blob/ef1ae919c06965895491868025dc8445deb46925/modules/news/src/main/java/com/cryptostrategy/platform/news/api/model/ProviderNewsItem.java#L7
</t>
    </r>
    <r>
      <rPr>
        <rFont val="Carlito"/>
        <color rgb="FF1155CC"/>
        <sz val="10.0"/>
        <u/>
      </rPr>
      <t>https://github.com/PhamVanMinhBinhThuan/crypto-strategy-platform/blob/ef1ae919c06965895491868025dc8445deb46925/modules/news/src/main/java/com/cryptostrategy/platform/news/api/model/NewsItem.java#L10</t>
    </r>
  </si>
  <si>
    <t>THANG TỰ ĐÁNH GIÁ 0–3: 0 = mới nêu ý tưởng/chưa chạy; 1 = prototype chạy một phần; 2 = hoàn thành và demo được nhưng minh chứng/đo lường còn hạn chế; 3 = hoàn thành tốt, modular, có demo + code + test/measurement + giải thích trade-off.</t>
  </si>
  <si>
    <t>Kiểm chứng một phần. Có NewsProvider, RSS adapter, collection service, canonical normalization, URL/content deduplication và News Item với title, content, source, URL, published time và related assets. Controlled E2E pass.</t>
  </si>
  <si>
    <t>LƯU Ý CHO GIẢNG VIÊN: Cột N chỉ là tự đánh giá của sinh viên. Cột O dành cho giảng viên quyết định nhận xét/điểm cộng. Không có công thức tự động cộng vào điểm đồ án.</t>
  </si>
  <si>
    <t>Sentiment Analysis</t>
  </si>
  <si>
    <t>Phân tích POSITIVE/NEUTRAL/NEGATIVE (hoặc score tương đương); kết quả lưu được; có thể tích hợp sentiment thành strategy nếu nhóm triển khai.</t>
  </si>
  <si>
    <t>https://www.kaggle.com/code/vandangnghi/notebook3a507ebd17</t>
  </si>
  <si>
    <t>Dùng output của notebook tạo thành một hệ thống python sentiment độc lập để phân tích kết quả</t>
  </si>
  <si>
    <t>C. Hồ sơ &amp; tài liệu</t>
  </si>
  <si>
    <t>Source code + README</t>
  </si>
  <si>
    <t>Repository hoàn chỉnh; README có Install, Run, Architecture, Demo; nếu private phải cấp quyền cho giảng viên.</t>
  </si>
  <si>
    <r>
      <rPr>
        <rFont val="Carlito"/>
        <color rgb="FF2563EB"/>
        <sz val="10.0"/>
        <u/>
      </rPr>
      <t xml:space="preserve">ADR:
https://github.com/PhamVanMinhBinhThuan/crypto-strategy-platform/blob/ef1ae919c06965895491868025dc8445deb46925/docs/adr/README.md
Architecture: 
https://github.com/PhamVanMinhBinhThuan/crypto-strategy-platform/blob/ef1ae919c06965895491868025dc8445deb46925/docs/architecture/README.md
Implementation/Run:
https://github.com/PhamVanMinhBinhThuan/crypto-strategy-platform/blob/ef1ae919c06965895491868025dc8445deb46925/README.md
https://github.com/PhamVanMinhBinhThuan/crypto-strategy-platform/blob/ef1ae919c06965895491868025dc8445deb46925/README.md#L268
ob/ef1ae919c06965895491868025dc8445deb46925/README.md#L297
</t>
    </r>
    <r>
      <rPr>
        <rFont val="Carlito"/>
        <color rgb="FF1155CC"/>
        <sz val="10.0"/>
        <u/>
      </rPr>
      <t>https://github.com/PhamVanMinhBinhThuan/crypto-strategy-platform/blob/ef1ae919c06965895491868025dc8445deb46925/README.md#L347</t>
    </r>
  </si>
  <si>
    <t>Đã kiểm chứng. Repository có source, README, hướng dẫn build/run, architecture index, ADR, API/database documentation, demo runbook và test commands.</t>
  </si>
  <si>
    <t>Architecture Document</t>
  </si>
  <si>
    <t>Có System Context, module/container decomposition, component responsibilities, Data Flow, Realtime Flow, Strategy Flow, Search/Backtest Flow.</t>
  </si>
  <si>
    <r>
      <rPr>
        <rFont val="Carlito"/>
        <sz val="10.0"/>
      </rPr>
      <t xml:space="preserve">ADR:
https://github.com/PhamVanMinhBinhThuan/crypto-strategy-platform/blob/ef1ae919c06965895491868025dc8445deb46925/docs/adr/0002-module-boundaries.md
https://github.com/PhamVanMinhBinhThuan/crypto-strategy-platform/blob/ef1ae919c06965895491868025dc8445deb46925/docs/adr/0007-postgresql-redis-ownership.md
Architecture:
https://github.com/PhamVanMinhBinhThuan/crypto-strategy-platform/blob/ef1ae919c06965895491868025dc8445deb46925/docs/architecture/README.md
https://github.com/PhamVanMinhBinhThuan/crypto-strategy-platform/blob/ef1ae919c06965895491868025dc8445deb46925/docs/architecture/system-context.md
https://github.com/PhamVanMinhBinhThuan/crypto-strategy-platform/blob/ef1ae919c06965895491868025dc8445deb46925/docs/architecture/container-view.md
https://github.com/PhamVanMinhBinhThuan/crypto-strategy-platform/blob/ef1ae919c06965895491868025dc8445deb46925/docs/architecture/module-view.md
https://github.com/PhamVanMinhBinhThuan/crypto-strategy-platform/blob/ef1ae919c06965895491868025dc8445deb46925/docs/architecture/data-flows.md
https://github.com/PhamVanMinhBinhThuan/crypto-strategy-platform/blob/ef1ae919c06965895491868025dc8445deb46925/docs/architecture/data-model-overview.md
Implementation/Test: 
https://github.com/PhamVanMinhBinhThuan/crypto-strategy-platform/blob/ef1ae919c06965895491868025dc8445deb46925/docs/architecture/architecture-evidence.md#L46
</t>
    </r>
    <r>
      <rPr>
        <rFont val="Carlito"/>
        <color rgb="FF1155CC"/>
        <sz val="10.0"/>
        <u/>
      </rPr>
      <t>https://github.com/PhamVanMinhBinhThuan/crypto-strategy-platform/blob/ef1ae919c06965895491868025dc8445deb46925/docs/evidence/f014/foundation-gates.md#L29</t>
    </r>
  </si>
  <si>
    <t>Kiểm chứng một phần. Có System Context, Container, Module, Deployment, Data Model và các dynamic flow cho Market, Realtime, Strategy, Search–Worker, News/Sentiment và Provenance.</t>
  </si>
  <si>
    <t>Architectural Decision Records (ADR)</t>
  </si>
  <si>
    <t>Có các quyết định chính và lý do: WebSocket/stream, plugin architecture, queue/worker, tách Sentiment Service... hoặc ADR tương đương.</t>
  </si>
  <si>
    <r>
      <rPr>
        <rFont val="Carlito"/>
        <sz val="10.0"/>
      </rPr>
      <t xml:space="preserve">ADR:
https://github.com/PhamVanMinhBinhThuan/crypto-strategy-platform/blob/ef1ae919c06965895491868025dc8445deb46925/docs/adr/README.md
https://github.com/PhamVanMinhBinhThuan/crypto-strategy-platform/blob/ef1ae919c06965895491868025dc8445deb46925/docs/adr/0005-strategy-plugin-registry.md
https://github.com/PhamVanMinhBinhThuan/crypto-strategy-platform/blob/ef1ae919c06965895491868025dc8445deb46925/docs/adr/0004-websocket-realtime.md
https://github.com/PhamVanMinhBinhThuan/crypto-strategy-platform/blob/ef1ae919c06965895491868025dc8445deb46925/docs/adr/0006-queue-worker-backtesting.md
https://github.com/PhamVanMinhBinhThuan/crypto-strategy-platform/blob/ef1ae919c06965895491868025dc8445deb46925/docs/adr/0008-sentiment-service-boundary.md
https://github.com/PhamVanMinhBinhThuan/crypto-strategy-platform/blob/ef1ae919c06965895491868025dc8445deb46925/docs/adr/0009-reproducible-experiments.md
https://github.com/PhamVanMinhBinhThuan/crypto-strategy-platform/blob/ef1ae919c06965895491868025dc8445deb46925/docs/adr/0010-strategy-generator-contract.md
Architecture: 
</t>
    </r>
    <r>
      <rPr>
        <rFont val="Carlito"/>
        <color rgb="FF1155CC"/>
        <sz val="10.0"/>
        <u/>
      </rPr>
      <t>https://github.com/PhamVanMinhBinhThuan/crypto-strategy-platform/blob/ef1ae919c06965895491868025dc8445deb46925/docs/architecture/architecture-evidence.md#L46</t>
    </r>
  </si>
  <si>
    <t>Đã kiểm chứng. Tại mốc 04/09 có ADR index và các ADR chính cho Modular Monolith, module boundary, Market Adapter, WebSocket, Plugin Registry, Queue–Worker, PostgreSQL/Redis, Sentiment và Reproducibility.</t>
  </si>
  <si>
    <t>Video/demo &amp; link minh chứng</t>
  </si>
  <si>
    <t>Link demo, báo cáo, hướng dẫn cài đặt hoạt động; minh chứng được gắn trực tiếp vào rubric để người chấm kiểm tra nhanh.</t>
  </si>
  <si>
    <r>
      <rPr>
        <rFont val="Carlito"/>
        <sz val="10.0"/>
      </rPr>
      <t xml:space="preserve">ADR:
https://github.com/PhamVanMinhBinhThuan/crypto-strategy-platform/blob/ef1ae919c06965895491868025dc8445deb46925/docs/adr/README.md
Architecture: 
https://github.com/PhamVanMinhBinhThuan/crypto-strategy-platform/blob/ef1ae919c06965895491868025dc8445deb46925/docs/architecture/data-flows.md#L223
Implementation/Run: 
https://github.com/PhamVanMinhBinhThuan/crypto-strategy-platform/blob/ef1ae919c06965895491868025dc8445deb46925/docs/demo/f014/runbook.md
https://github.com/PhamVanMinhBinhThuan/crypto-strategy-platform/blob/ef1ae919c06965895491868025dc8445deb46925/docs/demo/f014/demo-checklist.md
</t>
    </r>
    <r>
      <rPr>
        <rFont val="Carlito"/>
        <color rgb="FF1155CC"/>
        <sz val="10.0"/>
        <u/>
      </rPr>
      <t>https://github.com/PhamVanMinhBinhThuan/crypto-strategy-platform/blob/ef1ae919c06965895491868025dc8445deb46925/docs/evidence/f014/runbook-dry-run.md#L37</t>
    </r>
  </si>
  <si>
    <t>Hoàn thành. Demo runbook, checklist, dry-run và danh sách ảnh cần chụp đã có, có video/Drive link và link báo cáo hoàn chỉnh.</t>
  </si>
  <si>
    <t>D. Demo &amp; độ tin cậy</t>
  </si>
  <si>
    <t>Demo end-to-end</t>
  </si>
  <si>
    <t>Trình diễn được flow: dữ liệu realtime → chọn strategy → search → backtest → evaluate → leaderboard → click strategy → visualize → news/sentiment.</t>
  </si>
  <si>
    <r>
      <rPr>
        <rFont val="Carlito"/>
        <sz val="10.0"/>
      </rPr>
      <t xml:space="preserve">ADR:
https://github.com/PhamVanMinhBinhThuan/crypto-strategy-platform/blob/ef1ae919c06965895491868025dc8445deb46925/docs/adr/0003-market-data-adapter.md
https://github.com/PhamVanMinhBinhThuan/crypto-strategy-platform/blob/ef1ae919c06965895491868025dc8445deb46925/docs/adr/0004-websocket-realtime.md
https://github.com/PhamVanMinhBinhThuan/crypto-strategy-platform/blob/ef1ae919c06965895491868025dc8445deb46925/docs/adr/0005-strategy-plugin-registry.md
https://github.com/PhamVanMinhBinhThuan/crypto-strategy-platform/blob/ef1ae919c06965895491868025dc8445deb46925/docs/adr/0006-queue-worker-backtesting.md
https://github.com/PhamVanMinhBinhThuan/crypto-strategy-platform/blob/ef1ae919c06965895491868025dc8445deb46925/docs/adr/0009-reproducible-experiments.md
Architecture: 
https://github.com/PhamVanMinhBinhThuan/crypto-strategy-platform/blob/ef1ae919c06965895491868025dc8445deb46925/docs/architecture/data-flows.md#L223
https://github.com/PhamVanMinhBinhThuan/crypto-strategy-platform/blob/ef1ae919c06965895491868025dc8445deb46925/docs/architecture/data-flows.md#L253
Implementation/Run:
https://github.com/PhamVanMinhBinhThuan/crypto-strategy-platform/blob/ef1ae919c06965895491868025dc8445deb46925/docs/evidence/f014/main-flow.md#L5
https://github.com/PhamVanMinhBinhThuan/crypto-strategy-platform/blob/ef1ae919c06965895491868025dc8445deb46925/docs/evidence/f014/main-flow.md#L14
https://github.com/PhamVanMinhBinhThuan/crypto-strategy-platform/blob/ef1ae919c06965895491868025dc8445deb46925/docs/evidence/f014/main-flow.md#L16
https://github.com/PhamVanMinhBinhThuan/crypto-strategy-platform/blob/ef1ae919c06965895491868025dc8445deb46925/docs/evidence/f014/runbook-dry-run.md#L70
</t>
    </r>
    <r>
      <rPr>
        <rFont val="Carlito"/>
        <color rgb="FF1155CC"/>
        <sz val="10.0"/>
        <u/>
      </rPr>
      <t>https://github.com/PhamVanMinhBinhThuan/crypto-strategy-platform/blob/ef1ae919c06965895491868025dc8445deb46925/docs/evidence/f014/runbook-dry-run.md#L79</t>
    </r>
  </si>
  <si>
    <t>Hoàn thành. Controlled fallback journey đạt 8/8; API và Worker health pass.Hoàn thành full authenticated flow Market→Strategy→Search→Backtest→Evaluation→Leaderboard→Trade→News/Sentiment trong một phiên.</t>
  </si>
  <si>
    <t>Scenario kiến trúc / xử lý lỗi</t>
  </si>
  <si>
    <t>Chứng minh ít nhất 2 scenario: thêm MACD ít sửa code; đổi search algorithm; disconnect Binance; News lỗi nhưng chart vẫn chạy; trace strategy version.</t>
  </si>
  <si>
    <r>
      <rPr>
        <rFont val="Carlito"/>
        <sz val="10.0"/>
      </rPr>
      <t xml:space="preserve">Đã kiểm chứng nhiều hơn 2 scenario kiến trúc:
1. Thêm MACD ít sửa code:
- `StrategyExtensionTest` đăng ký `MacdStrategyPluginFixture` qua `DefaultStrategyRegistry` và khởi tạo `macd@1.0.0` bằng contract hiện có.
- Không phải sửa Backtester, Evaluator, Leaderboard hoặc message contract.
- Foundation gate đạt 72/72 test.
https://github.com/PhamVanMinhBinhThuan/crypto-strategy-platform/blob/ef1ae919c06965895491868025dc8445deb46925/architecture-tests/src/test/java/com/cryptostrategy/platform/architecture/StrategyExtensionTest.java
https://github.com/PhamVanMinhBinhThuan/crypto-strategy-platform/blob/ef1ae919c06965895491868025dc8445deb46925/docs/evidence/f014/foundation-gates.md
2. Đổi Search Generator:
- Fixture Generator được đăng ký qua public factory và sinh Candidate deterministic.
- ArchUnit xác nhận Backtesting, Evaluation, Leaderboard và Experiment không phụ thuộc Search implementation.
https://github.com/PhamVanMinhBinhThuan/crypto-strategy-platform/blob/ef1ae919c06965895491868025dc8445deb46925/architecture-tests/src/test/java/com/cryptostrategy/platform/architecture/SearchGeneratorReplaceabilityTest.java
https://github.com/PhamVanMinhBinhThuan/crypto-strategy-platform/blob/ef1ae919c06965895491868025dc8445deb46925/modules/search/src/test/java/com/cryptostrategy/platform/search/internal/GeneratorReplaceabilityTest.java
3. Binance WebSocket disconnect:
- Test mô phỏng disconnect, chuyển sang RECONNECTING, backfill Candle bị thiếu và loại Candle trùng tại vùng overlap.
- Retry có giới hạn với backoff 500 ms → 1 s → 2 s.
https://github.com/PhamVanMinhBinhThuan/crypto-strategy-platform/blob/ef1ae919c06965895491868025dc8445deb46925/modules/market-data/src/test/java/com/cryptostrategy/platform/marketdata/internal/realtime/RealtimeRecoveryCoordinatorTest.java
4. News/Sentiment lỗi nhưng Market không bị ảnh hưởng:
- Trạng thái chuyển FAILED_RETRYABLE → ANALYZING → ANALYZED.
- News vẫn đọc được; Market Data mock không có interaction.
- Controlled Playwright failure/recovery đạt 2/2 test.
https://github.com/PhamVanMinhBinhThuan/crypto-strategy-platform/blob/ef1ae919c06965895491868025dc8445deb46925/docs/evidence/f014/failure-recovery.md
https://github.com/PhamVanMinhBinhThuan/crypto-strategy-platform/blob/ef1ae919c06965895491868025dc8445deb46925/apps/api/src/test/java/com/cryptostrategy/platform/api/news/NewsDegradedIsolationTest.java
5. Trace Leaderboard và Strategy version:
- Truy vết được Leaderboard Revision → Evaluation Result → Backtest Result → Attempt → Candidate → Manifest → Dataset/Strategy version.
- PostgreSQL reproduction tạo graph mới, giữ source bất biến và trả verdict MATCHED; focused suite đạt 4/4, persistence suite đạt 29/29.
</t>
    </r>
    <r>
      <rPr>
        <rFont val="Carlito"/>
        <color rgb="FF1155CC"/>
        <sz val="10.0"/>
        <u/>
      </rPr>
      <t>https://github.com/PhamVanMinhBinhThuan/crypto-strategy-platform/blob/ef1ae919c06965895491868025dc8445deb46925/docs/evidence/f014/reproduction.md</t>
    </r>
  </si>
  <si>
    <t>Kiểm chứng một phần. Có nhiều hơn hai controlled scenario: MACD extension proof, Generator replacement, Market reconnect/backfill, Redis Worker reclaim/dedup, Sentiment failure/recovery và Leaderboard reproduction.</t>
  </si>
  <si>
    <t>E. Mở rộng có giá trị</t>
  </si>
  <si>
    <t>Phần nâng cao có mục tiêu kiến trúc rõ</t>
  </si>
  <si>
    <t>Ví dụ Genetic/Bayesian/LLM search, worker pool, multiple exchanges, market regime, ML nâng cao... Chỉ tự chấm cao khi chứng minh công sức, độ phức tạp và vấn đề kiến trúc được giải quyết.</t>
  </si>
  <si>
    <r>
      <rPr>
        <rFont val="Carlito"/>
        <sz val="10.0"/>
      </rPr>
      <t xml:space="preserve">ADR: 
https://github.com/PhamVanMinhBinhThuan/crypto-strategy-platform/blob/ef1ae919c06965895491868025dc8445deb46925/docs/adr/0006-queue-worker-backtesting.md#L29
https://github.com/PhamVanMinhBinhThuan/crypto-strategy-platform/blob/ef1ae919c06965895491868025dc8445deb46925/docs/adr/0007-postgresql-redis-ownership.md#L63
https://github.com/PhamVanMinhBinhThuan/crypto-strategy-platform/blob/ef1ae919c06965895491868025dc8445deb46925/docs/adr/0008-sentiment-service-boundary.md#L34
Architecture: 
https://github.com/PhamVanMinhBinhThuan/crypto-strategy-platform/blob/ef1ae919c06965895491868025dc8445deb46925/docs/architecture/quality-attributes.md#L70
https://github.com/PhamVanMinhBinhThuan/crypto-strategy-platform/blob/ef1ae919c06965895491868025dc8445deb46925/docs/architecture/container-view.md#L44
 Implementation/Test:
https://github.com/PhamVanMinhBinhThuan/crypto-strategy-platform/blob/ef1ae919c06965895491868025dc8445deb46925/docs/evidence/f014/advanced-evidence.md
https://github.com/PhamVanMinhBinhThuan/crypto-strategy-platform/blob/ef1ae919c06965895491868025dc8445deb46925/docs/evidence/f014/performance.md#L3
</t>
    </r>
    <r>
      <rPr>
        <rFont val="Carlito"/>
        <color rgb="FF1155CC"/>
        <sz val="10.0"/>
        <u/>
      </rPr>
      <t>https://github.com/PhamVanMinhBinhThuan/crypto-strategy-platform/blob/ef1ae919c06965895491868025dc8445deb46925/docs/evidence/f014/failure-recovery.md#L80</t>
    </r>
  </si>
  <si>
    <t>Repository có các nền tảng tiềm năng như ML model bundle, Redis Worker Pool, Outbox, bounded orchestration và reproducibility.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</si>
</sst>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28">
    <font>
      <sz val="11.0"/>
      <color rgb="FF000000"/>
      <name val="Carlito"/>
      <scheme val="minor"/>
    </font>
    <font>
      <b/>
      <sz val="15.0"/>
      <color theme="0"/>
      <name val="Carlito"/>
    </font>
    <font/>
    <font>
      <b/>
      <sz val="16.0"/>
      <color theme="0"/>
      <name val="Carlito"/>
    </font>
    <font>
      <b/>
      <sz val="11.0"/>
      <color theme="1"/>
      <name val="Carlito"/>
    </font>
    <font>
      <i/>
      <sz val="11.0"/>
      <color theme="1"/>
      <name val="Carlito"/>
    </font>
    <font>
      <sz val="11.0"/>
      <color theme="1"/>
      <name val="Carlito"/>
    </font>
    <font>
      <color theme="1"/>
      <name val="Carlito"/>
      <scheme val="minor"/>
    </font>
    <font>
      <b/>
      <sz val="11.0"/>
      <color theme="0"/>
      <name val="Carlito"/>
    </font>
    <font>
      <b/>
      <sz val="11.0"/>
      <color rgb="FF1F2937"/>
      <name val="Carlito"/>
    </font>
    <font>
      <u/>
      <sz val="11.0"/>
      <color rgb="FF0000FF"/>
      <name val="Carlito"/>
    </font>
    <font>
      <u/>
      <sz val="11.0"/>
      <color rgb="FF0000FF"/>
      <name val="Carlito"/>
    </font>
    <font>
      <u/>
      <sz val="11.0"/>
      <color rgb="FF0000FF"/>
      <name val="Carlito"/>
    </font>
    <font>
      <b/>
      <sz val="16.0"/>
      <color rgb="FFFFFFFF"/>
      <name val="Carlito"/>
    </font>
    <font>
      <b/>
      <sz val="11.0"/>
      <color rgb="FF7F6000"/>
      <name val="Carlito"/>
    </font>
    <font>
      <i/>
      <sz val="11.0"/>
      <color rgb="FF334155"/>
      <name val="Carlito"/>
    </font>
    <font>
      <sz val="11.0"/>
      <color rgb="FF375623"/>
      <name val="Carlito"/>
    </font>
    <font>
      <b/>
      <sz val="11.0"/>
      <color rgb="FFFFFFFF"/>
      <name val="Carlito"/>
    </font>
    <font>
      <b/>
      <sz val="11.0"/>
      <color rgb="FF9A3412"/>
      <name val="Carlito"/>
    </font>
    <font>
      <b/>
      <sz val="14.0"/>
      <color rgb="FF0F172A"/>
      <name val="Carlito"/>
    </font>
    <font>
      <sz val="10.0"/>
      <color theme="1"/>
      <name val="Carlito"/>
    </font>
    <font>
      <b/>
      <sz val="10.0"/>
      <color theme="1"/>
      <name val="Carlito"/>
    </font>
    <font>
      <u/>
      <sz val="10.0"/>
      <color rgb="FF0000FF"/>
      <name val="Carlito"/>
    </font>
    <font>
      <u/>
      <sz val="11.0"/>
      <color rgb="FF0000FF"/>
      <name val="Carlito"/>
    </font>
    <font>
      <u/>
      <sz val="11.0"/>
      <color rgb="FF0000FF"/>
      <name val="Carlito"/>
    </font>
    <font>
      <b/>
      <sz val="11.0"/>
      <color rgb="FF274E13"/>
      <name val="Carlito"/>
    </font>
    <font>
      <b/>
      <sz val="11.0"/>
      <color rgb="FF990000"/>
      <name val="Carlito"/>
    </font>
    <font>
      <u/>
      <sz val="10.0"/>
      <color rgb="FF2563EB"/>
      <name val="Carlito"/>
    </font>
  </fonts>
  <fills count="27">
    <fill>
      <patternFill patternType="none"/>
    </fill>
    <fill>
      <patternFill patternType="lightGray"/>
    </fill>
    <fill>
      <patternFill patternType="solid">
        <fgColor theme="4"/>
        <bgColor theme="4"/>
      </patternFill>
    </fill>
    <fill>
      <patternFill patternType="solid">
        <fgColor rgb="FFDCE6F1"/>
        <bgColor rgb="FFDCE6F1"/>
      </patternFill>
    </fill>
    <fill>
      <patternFill patternType="solid">
        <fgColor rgb="FFE8F1FB"/>
        <bgColor rgb="FFE8F1FB"/>
      </patternFill>
    </fill>
    <fill>
      <patternFill patternType="solid">
        <fgColor rgb="FFFAFAFA"/>
        <bgColor rgb="FFFAFAFA"/>
      </patternFill>
    </fill>
    <fill>
      <patternFill patternType="solid">
        <fgColor rgb="FFFFF2CC"/>
        <bgColor rgb="FFFFF2CC"/>
      </patternFill>
    </fill>
    <fill>
      <patternFill patternType="solid">
        <fgColor rgb="FFFFF9E6"/>
        <bgColor rgb="FFFFF9E6"/>
      </patternFill>
    </fill>
    <fill>
      <patternFill patternType="solid">
        <fgColor theme="9"/>
        <bgColor theme="9"/>
      </patternFill>
    </fill>
    <fill>
      <patternFill patternType="solid">
        <fgColor rgb="FFE2F0D9"/>
        <bgColor rgb="FFE2F0D9"/>
      </patternFill>
    </fill>
    <fill>
      <patternFill patternType="solid">
        <fgColor rgb="FFD9EAD3"/>
        <bgColor rgb="FFD9EAD3"/>
      </patternFill>
    </fill>
    <fill>
      <patternFill patternType="solid">
        <fgColor rgb="FF17365D"/>
        <bgColor rgb="FF17365D"/>
      </patternFill>
    </fill>
    <fill>
      <patternFill patternType="solid">
        <fgColor rgb="FF5B9BD5"/>
        <bgColor rgb="FF5B9BD5"/>
      </patternFill>
    </fill>
    <fill>
      <patternFill patternType="solid">
        <fgColor rgb="FFFDE9D9"/>
        <bgColor rgb="FFFDE9D9"/>
      </patternFill>
    </fill>
    <fill>
      <patternFill patternType="solid">
        <fgColor rgb="FF4472C4"/>
        <bgColor rgb="FF4472C4"/>
      </patternFill>
    </fill>
    <fill>
      <patternFill patternType="solid">
        <fgColor rgb="FFEAF2F8"/>
        <bgColor rgb="FFEAF2F8"/>
      </patternFill>
    </fill>
    <fill>
      <patternFill patternType="solid">
        <fgColor rgb="FFDDEBF7"/>
        <bgColor rgb="FFDDEBF7"/>
      </patternFill>
    </fill>
    <fill>
      <patternFill patternType="solid">
        <fgColor rgb="FFFFFDF2"/>
        <bgColor rgb="FFFFFDF2"/>
      </patternFill>
    </fill>
    <fill>
      <patternFill patternType="solid">
        <fgColor rgb="FFD9EAF7"/>
        <bgColor rgb="FFD9EAF7"/>
      </patternFill>
    </fill>
    <fill>
      <patternFill patternType="solid">
        <fgColor rgb="FFFCE4D6"/>
        <bgColor rgb="FFFCE4D6"/>
      </patternFill>
    </fill>
    <fill>
      <patternFill patternType="solid">
        <fgColor rgb="FFE8F5E9"/>
        <bgColor rgb="FFE8F5E9"/>
      </patternFill>
    </fill>
    <fill>
      <patternFill patternType="solid">
        <fgColor rgb="FFE4DFEC"/>
        <bgColor rgb="FFE4DFEC"/>
      </patternFill>
    </fill>
    <fill>
      <patternFill patternType="solid">
        <fgColor rgb="FFF2F2F2"/>
        <bgColor rgb="FFF2F2F2"/>
      </patternFill>
    </fill>
    <fill>
      <patternFill patternType="solid">
        <fgColor rgb="FFF4CCCC"/>
        <bgColor rgb="FFF4CCCC"/>
      </patternFill>
    </fill>
    <fill>
      <patternFill patternType="solid">
        <fgColor rgb="FFF3E8FF"/>
        <bgColor rgb="FFF3E8FF"/>
      </patternFill>
    </fill>
    <fill>
      <patternFill patternType="solid">
        <fgColor rgb="FFFFF3E0"/>
        <bgColor rgb="FFFFF3E0"/>
      </patternFill>
    </fill>
    <fill>
      <patternFill patternType="solid">
        <fgColor rgb="FFFDECEC"/>
        <bgColor rgb="FFFDECEC"/>
      </patternFill>
    </fill>
  </fills>
  <borders count="31">
    <border/>
    <border>
      <left/>
      <top/>
      <bottom/>
    </border>
    <border>
      <right/>
      <top/>
      <bottom/>
    </border>
    <border>
      <top/>
      <bottom/>
    </border>
    <border>
      <left/>
      <right/>
      <top/>
      <bottom/>
    </border>
    <border>
      <left style="thin">
        <color rgb="FFB7C4CE"/>
      </left>
      <right style="thin">
        <color rgb="FFB7C4CE"/>
      </right>
      <top style="thin">
        <color rgb="FFB7C4CE"/>
      </top>
      <bottom style="thin">
        <color rgb="FFB7C4CE"/>
      </bottom>
    </border>
    <border>
      <left style="thin">
        <color rgb="FFB7C4CE"/>
      </left>
      <top style="thin">
        <color rgb="FFB7C4CE"/>
      </top>
      <bottom style="thin">
        <color rgb="FFB7C4CE"/>
      </bottom>
    </border>
    <border>
      <top style="thin">
        <color rgb="FFB7C4CE"/>
      </top>
      <bottom style="thin">
        <color rgb="FFB7C4CE"/>
      </bottom>
    </border>
    <border>
      <right style="thin">
        <color rgb="FFB7C4CE"/>
      </right>
      <top style="thin">
        <color rgb="FFB7C4CE"/>
      </top>
      <bottom style="thin">
        <color rgb="FFB7C4CE"/>
      </bottom>
    </border>
    <border>
      <left style="thin">
        <color rgb="FFA6A6A6"/>
      </left>
      <right/>
      <top style="thin">
        <color rgb="FFA6A6A6"/>
      </top>
      <bottom/>
    </border>
    <border>
      <left/>
      <right style="thin">
        <color rgb="FFA6A6A6"/>
      </right>
      <top style="thin">
        <color rgb="FFA6A6A6"/>
      </top>
      <bottom/>
    </border>
    <border>
      <left style="thin">
        <color rgb="FF7F8C8D"/>
      </left>
      <top style="thin">
        <color rgb="FF7F8C8D"/>
      </top>
      <bottom style="thin">
        <color rgb="FF7F8C8D"/>
      </bottom>
    </border>
    <border>
      <left style="thin">
        <color rgb="FFA6A6A6"/>
      </left>
    </border>
    <border>
      <right style="thin">
        <color rgb="FF7F8C8D"/>
      </right>
      <top style="thin">
        <color rgb="FF7F8C8D"/>
      </top>
      <bottom style="thin">
        <color rgb="FF7F8C8D"/>
      </bottom>
    </border>
    <border>
      <left style="thin">
        <color rgb="FF7F8C8D"/>
      </left>
      <right style="thin">
        <color rgb="FF7F8C8D"/>
      </right>
      <top style="thin">
        <color rgb="FF7F8C8D"/>
      </top>
      <bottom style="thin">
        <color rgb="FF7F8C8D"/>
      </bottom>
    </border>
    <border>
      <right style="thin">
        <color rgb="FFA6A6A6"/>
      </right>
    </border>
    <border>
      <left style="thin">
        <color rgb="FFA6A6A6"/>
      </left>
      <bottom style="thin">
        <color rgb="FFA6A6A6"/>
      </bottom>
    </border>
    <border>
      <left/>
      <top/>
    </border>
    <border>
      <right/>
      <top/>
    </border>
    <border>
      <right style="thin">
        <color rgb="FFA6A6A6"/>
      </right>
      <bottom style="thin">
        <color rgb="FFA6A6A6"/>
      </bottom>
    </border>
    <border>
      <left style="thin">
        <color rgb="FFD9E1F2"/>
      </left>
      <top style="thin">
        <color rgb="FFD9E1F2"/>
      </top>
    </border>
    <border>
      <left/>
      <right/>
      <top style="thin">
        <color rgb="FFD9E1F2"/>
      </top>
      <bottom/>
    </border>
    <border>
      <left/>
      <bottom/>
    </border>
    <border>
      <right/>
      <bottom/>
    </border>
    <border>
      <left/>
      <right style="thin">
        <color rgb="FFD9E1F2"/>
      </right>
      <top style="thin">
        <color rgb="FFD9E1F2"/>
      </top>
      <bottom/>
    </border>
    <border>
      <left style="thin">
        <color rgb="FFD9E1F2"/>
      </left>
    </border>
    <border>
      <left/>
      <right style="thin">
        <color rgb="FFD9E1F2"/>
      </right>
      <top/>
      <bottom/>
    </border>
    <border>
      <left style="thin">
        <color rgb="FFD9E1F2"/>
      </left>
      <bottom style="thin">
        <color rgb="FFD9E1F2"/>
      </bottom>
    </border>
    <border>
      <left/>
      <right/>
      <top/>
      <bottom style="thin">
        <color rgb="FFD9E1F2"/>
      </bottom>
    </border>
    <border>
      <left/>
      <right style="thin">
        <color rgb="FFD9E1F2"/>
      </right>
      <top/>
      <bottom style="thin">
        <color rgb="FFD9E1F2"/>
      </bottom>
    </border>
    <border>
      <top style="thin">
        <color rgb="FF7F8C8D"/>
      </top>
      <bottom style="thin">
        <color rgb="FF7F8C8D"/>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2" fontId="1" numFmtId="0" xfId="0" applyAlignment="1" applyBorder="1" applyFill="1" applyFont="1">
      <alignment horizontal="center" vertical="center"/>
    </xf>
    <xf borderId="1" fillId="2" fontId="3" numFmtId="0" xfId="0" applyAlignment="1" applyBorder="1" applyFill="1" applyFont="1">
      <alignment horizontal="center" vertical="center"/>
    </xf>
    <xf borderId="5" fillId="3" fontId="4" numFmtId="0" xfId="0" applyAlignment="1" applyBorder="1" applyFill="1" applyFont="1">
      <alignment shrinkToFit="0" vertical="top" wrapText="1"/>
    </xf>
    <xf borderId="1" fillId="4" fontId="5" numFmtId="0" xfId="0" applyAlignment="1" applyBorder="1" applyFill="1" applyFont="1">
      <alignment shrinkToFit="0" wrapText="1"/>
    </xf>
    <xf borderId="5" fillId="5" fontId="6" numFmtId="0" xfId="0" applyAlignment="1" applyBorder="1" applyFill="1" applyFont="1">
      <alignment shrinkToFit="0" vertical="top" wrapText="1"/>
    </xf>
    <xf borderId="0" fillId="0" fontId="7" numFmtId="0" xfId="0" applyAlignment="1" applyFont="1">
      <alignment shrinkToFit="0" wrapText="1"/>
    </xf>
    <xf borderId="5" fillId="2" fontId="8" numFmtId="0" xfId="0" applyAlignment="1" applyBorder="1" applyFill="1" applyFont="1">
      <alignment horizontal="center" shrinkToFit="0" vertical="center" wrapText="1"/>
    </xf>
    <xf borderId="1" fillId="3" fontId="9"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5" fillId="0" fontId="6" numFmtId="0" xfId="0" applyAlignment="1" applyBorder="1" applyFont="1">
      <alignment shrinkToFit="0" vertical="top" wrapText="1"/>
    </xf>
    <xf borderId="5" fillId="7" fontId="6" numFmtId="0" xfId="0" applyAlignment="1" applyBorder="1" applyFill="1" applyFont="1">
      <alignment readingOrder="0" shrinkToFit="0" vertical="top" wrapText="1"/>
    </xf>
    <xf borderId="5" fillId="6" fontId="6" numFmtId="0" xfId="0" applyAlignment="1" applyBorder="1" applyFill="1" applyFont="1">
      <alignment readingOrder="0" shrinkToFit="0" vertical="top" wrapText="1"/>
    </xf>
    <xf borderId="5" fillId="7" fontId="6" numFmtId="9" xfId="0" applyAlignment="1" applyBorder="1" applyFill="1" applyFont="1" applyNumberFormat="1">
      <alignment readingOrder="0" shrinkToFit="0" vertical="top" wrapText="1"/>
    </xf>
    <xf borderId="1" fillId="6" fontId="10" numFmtId="0" xfId="0" applyAlignment="1" applyBorder="1" applyFill="1" applyFont="1">
      <alignment readingOrder="0" shrinkToFit="0" vertical="center" wrapText="1"/>
    </xf>
    <xf borderId="0" fillId="0" fontId="4" numFmtId="0" xfId="0" applyAlignment="1" applyFont="1">
      <alignment shrinkToFit="0" wrapText="1"/>
    </xf>
    <xf borderId="0" fillId="0" fontId="6" numFmtId="0" xfId="0" applyAlignment="1" applyFont="1">
      <alignment shrinkToFit="0" wrapText="1"/>
    </xf>
    <xf borderId="4" fillId="8" fontId="8" numFmtId="0" xfId="0" applyAlignment="1" applyBorder="1" applyFill="1" applyFont="1">
      <alignment horizontal="center" vertical="center"/>
    </xf>
    <xf borderId="5" fillId="7" fontId="11" numFmtId="0" xfId="0" applyAlignment="1" applyBorder="1" applyFill="1" applyFont="1">
      <alignment readingOrder="0" shrinkToFit="0" vertical="top" wrapText="1"/>
    </xf>
    <xf borderId="5" fillId="7" fontId="6" numFmtId="0" xfId="0" applyAlignment="1" applyBorder="1" applyFill="1" applyFont="1">
      <alignment shrinkToFit="0" vertical="top" wrapText="1"/>
    </xf>
    <xf borderId="5" fillId="7" fontId="6" numFmtId="9" xfId="0" applyAlignment="1" applyBorder="1" applyFill="1" applyFont="1" applyNumberFormat="1">
      <alignment shrinkToFit="0" vertical="top" wrapText="1"/>
    </xf>
    <xf borderId="5" fillId="0" fontId="6" numFmtId="0" xfId="0" applyBorder="1" applyFont="1"/>
    <xf borderId="5" fillId="9" fontId="4" numFmtId="0" xfId="0" applyAlignment="1" applyBorder="1" applyFill="1" applyFont="1">
      <alignment horizontal="center"/>
    </xf>
    <xf borderId="6" fillId="10" fontId="4" numFmtId="0" xfId="0" applyBorder="1" applyFill="1" applyFont="1"/>
    <xf borderId="7" fillId="0" fontId="2" numFmtId="0" xfId="0" applyBorder="1" applyFont="1"/>
    <xf borderId="8" fillId="0" fontId="2" numFmtId="0" xfId="0" applyBorder="1" applyFont="1"/>
    <xf borderId="5" fillId="10" fontId="4" numFmtId="9" xfId="0" applyBorder="1" applyFill="1" applyFont="1" applyNumberFormat="1"/>
    <xf borderId="1" fillId="6" fontId="12" numFmtId="0" xfId="0" applyAlignment="1" applyBorder="1" applyFill="1" applyFont="1">
      <alignment readingOrder="0" shrinkToFit="0" vertical="center" wrapText="1"/>
    </xf>
    <xf borderId="1" fillId="6" fontId="6" numFmtId="164" xfId="0" applyAlignment="1" applyBorder="1" applyFill="1" applyFont="1" applyNumberFormat="1">
      <alignment horizontal="left" readingOrder="0" shrinkToFit="0" vertical="center" wrapText="1"/>
    </xf>
    <xf borderId="1" fillId="6" fontId="6" numFmtId="0" xfId="0" applyAlignment="1" applyBorder="1" applyFill="1" applyFont="1">
      <alignment shrinkToFit="0" vertical="center" wrapText="1"/>
    </xf>
    <xf borderId="1" fillId="11" fontId="13" numFmtId="0" xfId="0" applyAlignment="1" applyBorder="1" applyFill="1" applyFont="1">
      <alignment horizontal="center" vertical="center"/>
    </xf>
    <xf borderId="1" fillId="8" fontId="8" numFmtId="0" xfId="0" applyAlignment="1" applyBorder="1" applyFill="1" applyFont="1">
      <alignment horizontal="center"/>
    </xf>
    <xf borderId="5" fillId="10" fontId="4" numFmtId="0" xfId="0" applyAlignment="1" applyBorder="1" applyFill="1" applyFont="1">
      <alignment horizontal="center" shrinkToFit="0" vertical="center" wrapText="1"/>
    </xf>
    <xf borderId="1" fillId="6" fontId="14" numFmtId="0" xfId="0" applyAlignment="1" applyBorder="1" applyFill="1" applyFont="1">
      <alignment shrinkToFit="0" vertical="center" wrapText="1"/>
    </xf>
    <xf borderId="1" fillId="4" fontId="15" numFmtId="0" xfId="0" applyAlignment="1" applyBorder="1" applyFill="1" applyFont="1">
      <alignment shrinkToFit="0" vertical="center" wrapText="1"/>
    </xf>
    <xf borderId="1" fillId="9" fontId="16" numFmtId="0" xfId="0" applyAlignment="1" applyBorder="1" applyFill="1" applyFont="1">
      <alignment shrinkToFit="0" vertical="center" wrapText="1"/>
    </xf>
    <xf borderId="9" fillId="12" fontId="17" numFmtId="0" xfId="0" applyAlignment="1" applyBorder="1" applyFill="1" applyFont="1">
      <alignment horizontal="center"/>
    </xf>
    <xf borderId="10" fillId="12" fontId="17" numFmtId="0" xfId="0" applyAlignment="1" applyBorder="1" applyFill="1" applyFont="1">
      <alignment horizontal="center"/>
    </xf>
    <xf borderId="11" fillId="10" fontId="4" numFmtId="0" xfId="0" applyBorder="1" applyFill="1" applyFont="1"/>
    <xf borderId="12" fillId="0" fontId="6" numFmtId="0" xfId="0" applyBorder="1" applyFont="1"/>
    <xf borderId="13" fillId="0" fontId="2" numFmtId="0" xfId="0" applyBorder="1" applyFont="1"/>
    <xf borderId="14" fillId="10" fontId="4" numFmtId="0" xfId="0" applyBorder="1" applyFill="1" applyFont="1"/>
    <xf borderId="1" fillId="2" fontId="8" numFmtId="0" xfId="0" applyAlignment="1" applyBorder="1" applyFill="1" applyFont="1">
      <alignment horizontal="center" vertical="center"/>
    </xf>
    <xf borderId="15" fillId="0" fontId="6" numFmtId="0" xfId="0" applyBorder="1" applyFont="1"/>
    <xf borderId="16" fillId="0" fontId="6" numFmtId="0" xfId="0" applyBorder="1" applyFont="1"/>
    <xf borderId="17" fillId="13" fontId="18" numFmtId="0" xfId="0" applyAlignment="1" applyBorder="1" applyFill="1" applyFont="1">
      <alignment shrinkToFit="0" vertical="center" wrapText="1"/>
    </xf>
    <xf borderId="18" fillId="0" fontId="2" numFmtId="0" xfId="0" applyBorder="1" applyFont="1"/>
    <xf borderId="19" fillId="0" fontId="6" numFmtId="0" xfId="0" applyBorder="1" applyFont="1"/>
    <xf borderId="4" fillId="14" fontId="17" numFmtId="0" xfId="0" applyAlignment="1" applyBorder="1" applyFill="1" applyFont="1">
      <alignment horizontal="center" shrinkToFit="0" vertical="center" wrapText="1"/>
    </xf>
    <xf borderId="1" fillId="15" fontId="19" numFmtId="0" xfId="0" applyAlignment="1" applyBorder="1" applyFill="1" applyFont="1">
      <alignment horizontal="center" vertical="center"/>
    </xf>
    <xf borderId="20" fillId="0" fontId="6" numFmtId="0" xfId="0" applyAlignment="1" applyBorder="1" applyFont="1">
      <alignment horizontal="center" shrinkToFit="0" vertical="top" wrapText="1"/>
    </xf>
    <xf borderId="21" fillId="16" fontId="6" numFmtId="0" xfId="0" applyAlignment="1" applyBorder="1" applyFill="1" applyFont="1">
      <alignment shrinkToFit="0" vertical="top" wrapText="1"/>
    </xf>
    <xf borderId="21" fillId="17" fontId="6" numFmtId="0" xfId="0" applyAlignment="1" applyBorder="1" applyFill="1" applyFont="1">
      <alignment readingOrder="0" shrinkToFit="0" vertical="top" wrapText="1"/>
    </xf>
    <xf borderId="4" fillId="17" fontId="6" numFmtId="0" xfId="0" applyAlignment="1" applyBorder="1" applyFill="1" applyFont="1">
      <alignment shrinkToFit="0" vertical="top" wrapText="1"/>
    </xf>
    <xf borderId="22" fillId="0" fontId="2" numFmtId="0" xfId="0" applyBorder="1" applyFont="1"/>
    <xf borderId="23" fillId="0" fontId="2" numFmtId="0" xfId="0" applyBorder="1" applyFont="1"/>
    <xf borderId="4" fillId="17" fontId="6" numFmtId="0" xfId="0" applyAlignment="1" applyBorder="1" applyFill="1" applyFont="1">
      <alignment readingOrder="0" shrinkToFit="0" vertical="top" wrapText="1"/>
    </xf>
    <xf borderId="4" fillId="17" fontId="6" numFmtId="0" xfId="0" applyAlignment="1" applyBorder="1" applyFill="1" applyFont="1">
      <alignment horizontal="center" shrinkToFit="0" vertical="top" wrapText="1"/>
    </xf>
    <xf borderId="24" fillId="17" fontId="6" numFmtId="0" xfId="0" applyAlignment="1" applyBorder="1" applyFill="1" applyFont="1">
      <alignment shrinkToFit="0" vertical="top" wrapText="1"/>
    </xf>
    <xf borderId="25" fillId="0" fontId="6" numFmtId="0" xfId="0" applyAlignment="1" applyBorder="1" applyFont="1">
      <alignment horizontal="center" shrinkToFit="0" vertical="top" wrapText="1"/>
    </xf>
    <xf borderId="4" fillId="16" fontId="6" numFmtId="0" xfId="0" applyAlignment="1" applyBorder="1" applyFill="1" applyFont="1">
      <alignment shrinkToFit="0" vertical="top" wrapText="1"/>
    </xf>
    <xf borderId="5" fillId="0" fontId="20" numFmtId="0" xfId="0" applyAlignment="1" applyBorder="1" applyFont="1">
      <alignment shrinkToFit="0" vertical="top" wrapText="1"/>
    </xf>
    <xf borderId="4" fillId="17" fontId="6" numFmtId="0" xfId="0" applyAlignment="1" applyBorder="1" applyFill="1" applyFont="1">
      <alignment horizontal="center" readingOrder="0" shrinkToFit="0" vertical="top" wrapText="1"/>
    </xf>
    <xf borderId="5" fillId="18" fontId="21" numFmtId="0" xfId="0" applyAlignment="1" applyBorder="1" applyFill="1" applyFont="1">
      <alignment shrinkToFit="0" vertical="top" wrapText="1"/>
    </xf>
    <xf borderId="26" fillId="17" fontId="6" numFmtId="0" xfId="0" applyAlignment="1" applyBorder="1" applyFill="1" applyFont="1">
      <alignment shrinkToFit="0" vertical="top" wrapText="1"/>
    </xf>
    <xf borderId="5" fillId="6" fontId="20" numFmtId="0" xfId="0" applyAlignment="1" applyBorder="1" applyFill="1" applyFont="1">
      <alignment readingOrder="0" shrinkToFit="0" vertical="top" wrapText="1"/>
    </xf>
    <xf borderId="5" fillId="9" fontId="20" numFmtId="0" xfId="0" applyAlignment="1" applyBorder="1" applyFill="1" applyFont="1">
      <alignment shrinkToFit="0" vertical="top" wrapText="1"/>
    </xf>
    <xf borderId="5" fillId="7" fontId="22" numFmtId="0" xfId="0" applyAlignment="1" applyBorder="1" applyFill="1" applyFont="1">
      <alignment readingOrder="0" shrinkToFit="0" vertical="top" wrapText="1"/>
    </xf>
    <xf borderId="5" fillId="7" fontId="20" numFmtId="0" xfId="0" applyAlignment="1" applyBorder="1" applyFill="1" applyFont="1">
      <alignment readingOrder="0" shrinkToFit="0" vertical="top" wrapText="1"/>
    </xf>
    <xf borderId="4" fillId="9" fontId="6" numFmtId="0" xfId="0" applyAlignment="1" applyBorder="1" applyFill="1" applyFont="1">
      <alignment shrinkToFit="0" vertical="top" wrapText="1"/>
    </xf>
    <xf borderId="4" fillId="6" fontId="6" numFmtId="0" xfId="0" applyAlignment="1" applyBorder="1" applyFill="1" applyFont="1">
      <alignment shrinkToFit="0" vertical="top" wrapText="1"/>
    </xf>
    <xf borderId="4" fillId="19" fontId="6" numFmtId="0" xfId="0" applyAlignment="1" applyBorder="1" applyFill="1" applyFont="1">
      <alignment shrinkToFit="0" vertical="top" wrapText="1"/>
    </xf>
    <xf borderId="4" fillId="17" fontId="23" numFmtId="0" xfId="0" applyAlignment="1" applyBorder="1" applyFill="1" applyFont="1">
      <alignment shrinkToFit="0" vertical="top" wrapText="1"/>
    </xf>
    <xf borderId="5" fillId="20" fontId="21" numFmtId="0" xfId="0" applyAlignment="1" applyBorder="1" applyFill="1" applyFont="1">
      <alignment shrinkToFit="0" vertical="top" wrapText="1"/>
    </xf>
    <xf borderId="4" fillId="21" fontId="6" numFmtId="0" xfId="0" applyAlignment="1" applyBorder="1" applyFill="1" applyFont="1">
      <alignment shrinkToFit="0" vertical="top" wrapText="1"/>
    </xf>
    <xf borderId="4" fillId="17" fontId="24" numFmtId="0" xfId="0" applyAlignment="1" applyBorder="1" applyFill="1" applyFont="1">
      <alignment readingOrder="0" shrinkToFit="0" vertical="top" wrapText="1"/>
    </xf>
    <xf borderId="4" fillId="22" fontId="6" numFmtId="0" xfId="0" applyAlignment="1" applyBorder="1" applyFill="1" applyFont="1">
      <alignment shrinkToFit="0" vertical="top" wrapText="1"/>
    </xf>
    <xf borderId="27" fillId="0" fontId="6" numFmtId="0" xfId="0" applyAlignment="1" applyBorder="1" applyFont="1">
      <alignment horizontal="center" shrinkToFit="0" vertical="top" wrapText="1"/>
    </xf>
    <xf borderId="28" fillId="22" fontId="6" numFmtId="0" xfId="0" applyAlignment="1" applyBorder="1" applyFill="1" applyFont="1">
      <alignment shrinkToFit="0" vertical="top" wrapText="1"/>
    </xf>
    <xf borderId="28" fillId="17" fontId="6" numFmtId="0" xfId="0" applyAlignment="1" applyBorder="1" applyFill="1" applyFont="1">
      <alignment shrinkToFit="0" vertical="top" wrapText="1"/>
    </xf>
    <xf borderId="29" fillId="17" fontId="6" numFmtId="0" xfId="0" applyAlignment="1" applyBorder="1" applyFill="1" applyFont="1">
      <alignment shrinkToFit="0" vertical="top" wrapText="1"/>
    </xf>
    <xf borderId="1" fillId="10" fontId="25" numFmtId="0" xfId="0" applyAlignment="1" applyBorder="1" applyFill="1" applyFont="1">
      <alignment shrinkToFit="0" vertical="center" wrapText="1"/>
    </xf>
    <xf borderId="1" fillId="23" fontId="26" numFmtId="0" xfId="0" applyAlignment="1" applyBorder="1" applyFill="1" applyFont="1">
      <alignment shrinkToFit="0" vertical="center" wrapText="1"/>
    </xf>
    <xf borderId="5" fillId="7" fontId="27" numFmtId="0" xfId="0" applyAlignment="1" applyBorder="1" applyFill="1" applyFont="1">
      <alignment readingOrder="0" shrinkToFit="0" vertical="top" wrapText="1"/>
    </xf>
    <xf borderId="5" fillId="7" fontId="20" numFmtId="0" xfId="0" applyAlignment="1" applyBorder="1" applyFill="1" applyFont="1">
      <alignment readingOrder="0" shrinkToFit="0" vertical="top" wrapText="1"/>
    </xf>
    <xf borderId="5" fillId="24" fontId="21" numFmtId="0" xfId="0" applyAlignment="1" applyBorder="1" applyFill="1" applyFont="1">
      <alignment shrinkToFit="0" vertical="top" wrapText="1"/>
    </xf>
    <xf borderId="5" fillId="25" fontId="21" numFmtId="0" xfId="0" applyAlignment="1" applyBorder="1" applyFill="1" applyFont="1">
      <alignment shrinkToFit="0" vertical="top" wrapText="1"/>
    </xf>
    <xf borderId="5" fillId="26" fontId="21" numFmtId="0" xfId="0" applyAlignment="1" applyBorder="1" applyFill="1" applyFont="1">
      <alignment shrinkToFit="0" vertical="top" wrapText="1"/>
    </xf>
    <xf borderId="11" fillId="10" fontId="4" numFmtId="0" xfId="0" applyAlignment="1" applyBorder="1" applyFill="1" applyFont="1">
      <alignment vertical="center"/>
    </xf>
    <xf borderId="30" fillId="0" fontId="2" numFmtId="0" xfId="0" applyBorder="1" applyFont="1"/>
    <xf borderId="14" fillId="10" fontId="4" numFmtId="0" xfId="0" applyAlignment="1" applyBorder="1" applyFill="1" applyFont="1">
      <alignment vertical="center"/>
    </xf>
    <xf borderId="14" fillId="10" fontId="4" numFmtId="0" xfId="0" applyAlignment="1" applyBorder="1" applyFill="1" applyFont="1">
      <alignment shrinkToFit="0" vertical="center" wrapText="1"/>
    </xf>
  </cellXfs>
  <cellStyles count="1">
    <cellStyle xfId="0" name="Normal" builtinId="0"/>
  </cellStyles>
  <dxfs count="8">
    <dxf>
      <font>
        <b/>
        <color rgb="FF991B1B"/>
      </font>
      <fill>
        <patternFill patternType="solid">
          <fgColor rgb="FFFECACA"/>
          <bgColor rgb="FFFECACA"/>
        </patternFill>
      </fill>
      <border/>
    </dxf>
    <dxf>
      <font>
        <b/>
        <color rgb="FF14532D"/>
      </font>
      <fill>
        <patternFill patternType="solid">
          <fgColor rgb="FFBBF7D0"/>
          <bgColor rgb="FFBBF7D0"/>
        </patternFill>
      </fill>
      <border/>
    </dxf>
    <dxf>
      <font>
        <b/>
        <color rgb="FF854D0E"/>
      </font>
      <fill>
        <patternFill patternType="solid">
          <fgColor rgb="FFFEF3C7"/>
          <bgColor rgb="FFFEF3C7"/>
        </patternFill>
      </fill>
      <border/>
    </dxf>
    <dxf>
      <font>
        <b/>
        <color rgb="FF375623"/>
      </font>
      <fill>
        <patternFill patternType="solid">
          <fgColor rgb="FFC6E0B4"/>
          <bgColor rgb="FFC6E0B4"/>
        </patternFill>
      </fill>
      <border/>
    </dxf>
    <dxf>
      <font/>
      <fill>
        <patternFill patternType="solid">
          <fgColor rgb="FFFFE699"/>
          <bgColor rgb="FFFFE699"/>
        </patternFill>
      </fill>
      <border/>
    </dxf>
    <dxf>
      <font>
        <color rgb="FF7F7F7F"/>
      </font>
      <fill>
        <patternFill patternType="solid">
          <fgColor rgb="FFF2F2F2"/>
          <bgColor rgb="FFF2F2F2"/>
        </patternFill>
      </fill>
      <border/>
    </dxf>
    <dxf>
      <font>
        <b/>
      </font>
      <fill>
        <patternFill patternType="solid">
          <fgColor rgb="FFC6E0B4"/>
          <bgColor rgb="FFC6E0B4"/>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111827"/>
      </a:dk1>
      <a:lt1>
        <a:srgbClr val="FFFFFF"/>
      </a:lt1>
      <a:dk2>
        <a:srgbClr val="111827"/>
      </a:dk2>
      <a:lt2>
        <a:srgbClr val="FFFFFF"/>
      </a:lt2>
      <a:accent1>
        <a:srgbClr val="1F4E78"/>
      </a:accent1>
      <a:accent2>
        <a:srgbClr val="F59E0B"/>
      </a:accent2>
      <a:accent3>
        <a:srgbClr val="16A34A"/>
      </a:accent3>
      <a:accent4>
        <a:srgbClr val="0EA5E9"/>
      </a:accent4>
      <a:accent5>
        <a:srgbClr val="7C3AED"/>
      </a:accent5>
      <a:accent6>
        <a:srgbClr val="0F766E"/>
      </a:accent6>
      <a:hlink>
        <a:srgbClr val="2563EB"/>
      </a:hlink>
      <a:folHlink>
        <a:srgbClr val="2563EB"/>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github.com/PhamVanMinhBinhThuan/crypto-strategy-platform/blob/ef1ae919c06965895491868025dc8445deb46925/docs/evidence/f014/foundation-gates.md" TargetMode="External"/><Relationship Id="rId22" Type="http://schemas.openxmlformats.org/officeDocument/2006/relationships/hyperlink" Target="https://github.com/PhamVanMinhBinhThuan/crypto-strategy-platform/blob/ef1ae919c06965895491868025dc8445deb46925/docs/evidence/f014/runbook-dry-run.md" TargetMode="External"/><Relationship Id="rId21" Type="http://schemas.openxmlformats.org/officeDocument/2006/relationships/hyperlink" Target="https://github.com/PhamVanMinhBinhThuan/crypto-strategy-platform/blob/ef1ae919c06965895491868025dc8445deb46925/docs/architecture/architecture-evidence.md" TargetMode="External"/><Relationship Id="rId24" Type="http://schemas.openxmlformats.org/officeDocument/2006/relationships/hyperlink" Target="https://github.com/PhamVanMinhBinhThuan/crypto-strategy-platform/blob/ef1ae919c06965895491868025dc8445deb46925/docs/evidence/f014/reproduction.md" TargetMode="External"/><Relationship Id="rId23" Type="http://schemas.openxmlformats.org/officeDocument/2006/relationships/hyperlink" Target="https://github.com/PhamVanMinhBinhThuan/crypto-strategy-platform/blob/ef1ae919c06965895491868025dc8445deb46925/docs/evidence/f014/runbook-dry-run.md" TargetMode="External"/><Relationship Id="rId1" Type="http://schemas.openxmlformats.org/officeDocument/2006/relationships/hyperlink" Target="https://github.com/PhamVanMinhBinhThuan/crypto-strategy-platform" TargetMode="External"/><Relationship Id="rId2" Type="http://schemas.openxmlformats.org/officeDocument/2006/relationships/hyperlink" Target="https://drive.google.com/drive/folders/12Tg8WE7-FiN0muv-9RtSavVMnm87NUbO?usp=sharing" TargetMode="External"/><Relationship Id="rId3" Type="http://schemas.openxmlformats.org/officeDocument/2006/relationships/hyperlink" Target="https://drive.google.com/file/d/1KoCSdKMvzQiuq7SGHPy_1lujfVGs40VH/view?usp=sharing" TargetMode="External"/><Relationship Id="rId4" Type="http://schemas.openxmlformats.org/officeDocument/2006/relationships/hyperlink" Target="https://github.com/PhamVanMinhBinhThuan/crypto-strategy-platform/blob/main/docs/SETUP.md" TargetMode="External"/><Relationship Id="rId9" Type="http://schemas.openxmlformats.org/officeDocument/2006/relationships/hyperlink" Target="https://github.com/PhamVanMinhBinhThuan/crypto-strategy-platform/blob/ef1ae919c06965895491868025dc8445deb46925/docs/adr/0004-websocket-realtime.md" TargetMode="External"/><Relationship Id="rId26" Type="http://schemas.openxmlformats.org/officeDocument/2006/relationships/drawing" Target="../drawings/drawing1.xml"/><Relationship Id="rId25" Type="http://schemas.openxmlformats.org/officeDocument/2006/relationships/hyperlink" Target="https://github.com/PhamVanMinhBinhThuan/crypto-strategy-platform/blob/ef1ae919c06965895491868025dc8445deb46925/docs/evidence/f014/failure-recovery.md" TargetMode="External"/><Relationship Id="rId5" Type="http://schemas.openxmlformats.org/officeDocument/2006/relationships/hyperlink" Target="https://github.com/PhamVanMinhBinhThuan/crypto-strategy-platform/blob/docs/architecture-questions/docs/questions/4_add_new_strategy/answer.md" TargetMode="External"/><Relationship Id="rId6" Type="http://schemas.openxmlformats.org/officeDocument/2006/relationships/hyperlink" Target="https://github.com/PhamVanMinhBinhThuan/crypto-strategy-platform/blob/docs/architecture-questions/docs/questions/4_add_new_strategy/answer.md" TargetMode="External"/><Relationship Id="rId7" Type="http://schemas.openxmlformats.org/officeDocument/2006/relationships/hyperlink" Target="https://github.com/PhamVanMinhBinhThuan/crypto-strategy-platform/blob/docs/architecture-questions/docs/questions/5_replace_search_algorithm/answer.md" TargetMode="External"/><Relationship Id="rId8" Type="http://schemas.openxmlformats.org/officeDocument/2006/relationships/hyperlink" Target="https://github.com/PhamVanMinhBinhThuan/crypto-strategy-platform/blob/docs/architecture-questions/docs/questions/7_scale_100000_backtests/answer.md" TargetMode="External"/><Relationship Id="rId11" Type="http://schemas.openxmlformats.org/officeDocument/2006/relationships/hyperlink" Target="https://github.com/PhamVanMinhBinhThuan/crypto-strategy-platform/blob/ef1ae919c06965895491868025dc8445deb46925/docs/evidence/f014/reproduction.md" TargetMode="External"/><Relationship Id="rId10" Type="http://schemas.openxmlformats.org/officeDocument/2006/relationships/hyperlink" Target="https://github.com/PhamVanMinhBinhThuan/crypto-strategy-platform/blob/ef1ae919c06965895491868025dc8445deb46925/docs/evidence/f014/failure-recovery.md" TargetMode="External"/><Relationship Id="rId13" Type="http://schemas.openxmlformats.org/officeDocument/2006/relationships/hyperlink" Target="https://github.com/PhamVanMinhBinhThuan/crypto-strategy-platform/blob/ef1ae919c06965895491868025dc8445deb46925/modules/backtesting/src/test/java/com/cryptostrategy/platform/backtesting/internal/DeterministicBacktestEngineTest.java" TargetMode="External"/><Relationship Id="rId12" Type="http://schemas.openxmlformats.org/officeDocument/2006/relationships/hyperlink" Target="https://github.com/PhamVanMinhBinhThuan/crypto-strategy-platform/blob/ef1ae919c06965895491868025dc8445deb46925/docs/evidence/f014/foundation-gates.md" TargetMode="External"/><Relationship Id="rId15" Type="http://schemas.openxmlformats.org/officeDocument/2006/relationships/hyperlink" Target="https://github.com/PhamVanMinhBinhThuan/crypto-strategy-platform/blob/ef1ae919c06965895491868025dc8445deb46925/modules/experiment-execution/src/main/java/com/cryptostrategy/platform/execution/internal/TrustedSearchCoordinationService.java" TargetMode="External"/><Relationship Id="rId14" Type="http://schemas.openxmlformats.org/officeDocument/2006/relationships/hyperlink" Target="https://github.com/PhamVanMinhBinhThuan/crypto-strategy-platform/blob/ef1ae919c06965895491868025dc8445deb46925/apps/web/src/features/backtests/components/ResultSummary.tsx" TargetMode="External"/><Relationship Id="rId17" Type="http://schemas.openxmlformats.org/officeDocument/2006/relationships/hyperlink" Target="https://github.com/PhamVanMinhBinhThuan/crypto-strategy-platform/blob/ef1ae919c06965895491868025dc8445deb46925/docs/adr/0005-strategy-plugin-registry.md" TargetMode="External"/><Relationship Id="rId16" Type="http://schemas.openxmlformats.org/officeDocument/2006/relationships/hyperlink" Target="https://github.com/PhamVanMinhBinhThuan/crypto-strategy-platform/blob/ef1ae919c06965895491868025dc8445deb46925/apps/web/src/features/backtests/components/BacktestResultsView.tsx" TargetMode="External"/><Relationship Id="rId19" Type="http://schemas.openxmlformats.org/officeDocument/2006/relationships/hyperlink" Target="https://github.com/PhamVanMinhBinhThuan/crypto-strategy-platform/blob/ef1ae919c06965895491868025dc8445deb46925/README.md" TargetMode="External"/><Relationship Id="rId18" Type="http://schemas.openxmlformats.org/officeDocument/2006/relationships/hyperlink" Target="https://www.kaggle.com/code/vandangnghi/notebook3a507ebd1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RPhTdX2DYG18GvntymCK9RR7xdD3HQMZ/view?usp=sharing" TargetMode="External"/><Relationship Id="rId2" Type="http://schemas.openxmlformats.org/officeDocument/2006/relationships/hyperlink" Target="https://drive.google.com/file/d/12P7psFnlvDlV5oVJxXY1w25H3mQWHSea/view?usp=sharing" TargetMode="External"/><Relationship Id="rId3" Type="http://schemas.openxmlformats.org/officeDocument/2006/relationships/hyperlink" Target="https://drive.google.com/file/d/15gOv9ynEWtsUfC176jOA5uOOtlWL5Z_Y/view?usp=sharing" TargetMode="External"/><Relationship Id="rId4" Type="http://schemas.openxmlformats.org/officeDocument/2006/relationships/hyperlink" Target="https://drive.google.com/file/d/1vczKApdLIqWmZ8wcjdN7kB9EvfVPAm4p/view?usp=sharing" TargetMode="External"/><Relationship Id="rId9" Type="http://schemas.openxmlformats.org/officeDocument/2006/relationships/hyperlink" Target="https://drive.google.com/file/d/1WhN0Az1OVFNjdV1TLd4YtbYpmVgTSqAQ/view?usp=sharing" TargetMode="External"/><Relationship Id="rId5" Type="http://schemas.openxmlformats.org/officeDocument/2006/relationships/hyperlink" Target="https://drive.google.com/file/d/1bIZbn9x2rxeq2Z3WtdeiusH-oiZNcMon/view?usp=sharing" TargetMode="External"/><Relationship Id="rId6" Type="http://schemas.openxmlformats.org/officeDocument/2006/relationships/hyperlink" Target="https://drive.google.com/file/d/1gAgUPa3wPwVcUOYgCcQD4mLNUBEXuR30/view?usp=sharing" TargetMode="External"/><Relationship Id="rId7" Type="http://schemas.openxmlformats.org/officeDocument/2006/relationships/hyperlink" Target="https://drive.google.com/file/d/1J1K1WsmwcFTwoAUSNeqGxWJql8sIwF28/view?usp=sharing" TargetMode="External"/><Relationship Id="rId8" Type="http://schemas.openxmlformats.org/officeDocument/2006/relationships/hyperlink" Target="https://drive.google.com/file/d/1hJOFHOqESu3t7Jn172JN_RwKi13tr1qQ/view?usp=sharing" TargetMode="External"/><Relationship Id="rId10"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PhamVanMinhBinhThuan/crypto-strategy-platform/blob/ef1ae919c06965895491868025dc8445deb46925/docs/evidence/f014/failure-recovery.md" TargetMode="External"/><Relationship Id="rId2" Type="http://schemas.openxmlformats.org/officeDocument/2006/relationships/hyperlink" Target="https://github.com/PhamVanMinhBinhThuan/crypto-strategy-platform/blob/main/docs/evidence/f014/failure-recovery.md" TargetMode="External"/><Relationship Id="rId3" Type="http://schemas.openxmlformats.org/officeDocument/2006/relationships/hyperlink" Target="https://github.com/PhamVanMinhBinhThuan/crypto-strategy-platform/blob/ef1ae919c06965895491868025dc8445deb46925/docs/evidence/f014/foundation-gates.md"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0"/>
    <col customWidth="1" min="2" max="2" width="23.0"/>
    <col customWidth="1" min="3" max="3" width="28.0"/>
    <col customWidth="1" min="4" max="4" width="58.0"/>
    <col customWidth="1" min="5" max="5" width="11.0"/>
    <col customWidth="1" min="6" max="6" width="13.0"/>
    <col customWidth="1" min="7" max="7" width="12.0"/>
    <col customWidth="1" min="8" max="9" width="34.0"/>
    <col customWidth="1" min="10" max="10" width="18.0"/>
    <col customWidth="1" min="11" max="11" width="8.63"/>
    <col customWidth="1" min="12" max="12" width="25.0"/>
    <col customWidth="1" min="13" max="14" width="12.0"/>
    <col customWidth="1" min="15" max="26" width="8.63"/>
  </cols>
  <sheetData>
    <row r="1">
      <c r="A1" s="5" t="s">
        <v>3</v>
      </c>
      <c r="B1" s="3"/>
      <c r="C1" s="3"/>
      <c r="D1" s="3"/>
      <c r="E1" s="3"/>
      <c r="F1" s="3"/>
      <c r="G1" s="3"/>
      <c r="H1" s="3"/>
      <c r="I1" s="3"/>
      <c r="J1" s="2"/>
    </row>
    <row r="2">
      <c r="H2" s="9"/>
    </row>
    <row r="3">
      <c r="A3" s="11" t="s">
        <v>11</v>
      </c>
      <c r="B3" s="2"/>
      <c r="C3" s="12" t="s">
        <v>19</v>
      </c>
      <c r="D3" s="2"/>
      <c r="E3" s="11" t="s">
        <v>32</v>
      </c>
      <c r="F3" s="2"/>
      <c r="G3" s="17" t="s">
        <v>38</v>
      </c>
      <c r="H3" s="3"/>
      <c r="I3" s="3"/>
      <c r="J3" s="2"/>
      <c r="L3" s="20" t="s">
        <v>63</v>
      </c>
      <c r="M3" s="20" t="s">
        <v>70</v>
      </c>
      <c r="N3" s="20" t="s">
        <v>74</v>
      </c>
    </row>
    <row r="4">
      <c r="A4" s="11" t="s">
        <v>77</v>
      </c>
      <c r="B4" s="2"/>
      <c r="C4" s="12" t="s">
        <v>82</v>
      </c>
      <c r="D4" s="2"/>
      <c r="E4" s="11" t="s">
        <v>85</v>
      </c>
      <c r="F4" s="2"/>
      <c r="G4" s="17" t="s">
        <v>88</v>
      </c>
      <c r="H4" s="3"/>
      <c r="I4" s="3"/>
      <c r="J4" s="2"/>
      <c r="L4" s="24" t="s">
        <v>94</v>
      </c>
      <c r="M4" s="24">
        <v>35.0</v>
      </c>
      <c r="N4" s="25">
        <f>ROUND(SUM(G16:G22),1)</f>
        <v>35</v>
      </c>
    </row>
    <row r="5">
      <c r="A5" s="11" t="s">
        <v>102</v>
      </c>
      <c r="B5" s="2"/>
      <c r="C5" s="12" t="s">
        <v>44</v>
      </c>
      <c r="D5" s="2"/>
      <c r="E5" s="11" t="s">
        <v>106</v>
      </c>
      <c r="F5" s="2"/>
      <c r="G5" s="30" t="s">
        <v>109</v>
      </c>
      <c r="H5" s="3"/>
      <c r="I5" s="3"/>
      <c r="J5" s="2"/>
      <c r="L5" s="24" t="s">
        <v>114</v>
      </c>
      <c r="M5" s="24">
        <v>40.0</v>
      </c>
      <c r="N5" s="25">
        <f>ROUND(SUM(G23:G32),1)</f>
        <v>40</v>
      </c>
    </row>
    <row r="6">
      <c r="A6" s="11" t="s">
        <v>117</v>
      </c>
      <c r="B6" s="2"/>
      <c r="C6" s="31">
        <v>46269.0</v>
      </c>
      <c r="D6" s="2"/>
      <c r="E6" s="11" t="s">
        <v>121</v>
      </c>
      <c r="F6" s="2"/>
      <c r="G6" s="30" t="s">
        <v>122</v>
      </c>
      <c r="H6" s="3"/>
      <c r="I6" s="3"/>
      <c r="J6" s="2"/>
      <c r="L6" s="24" t="s">
        <v>130</v>
      </c>
      <c r="M6" s="24">
        <v>15.0</v>
      </c>
      <c r="N6" s="25">
        <f>ROUND(SUM(G33:G36),1)</f>
        <v>15</v>
      </c>
    </row>
    <row r="7">
      <c r="E7" s="11" t="s">
        <v>135</v>
      </c>
      <c r="F7" s="2"/>
      <c r="G7" s="32"/>
      <c r="H7" s="3"/>
      <c r="I7" s="3"/>
      <c r="J7" s="2"/>
      <c r="L7" s="24" t="s">
        <v>138</v>
      </c>
      <c r="M7" s="24">
        <v>5.0</v>
      </c>
      <c r="N7" s="25">
        <f>ROUND(SUM(G37:G38),1)</f>
        <v>5</v>
      </c>
    </row>
    <row r="8">
      <c r="A8" s="37" t="s">
        <v>141</v>
      </c>
      <c r="B8" s="3"/>
      <c r="C8" s="3"/>
      <c r="D8" s="3"/>
      <c r="E8" s="3"/>
      <c r="F8" s="3"/>
      <c r="G8" s="3"/>
      <c r="H8" s="3"/>
      <c r="I8" s="3"/>
      <c r="J8" s="2"/>
      <c r="L8" s="24" t="s">
        <v>147</v>
      </c>
      <c r="M8" s="24">
        <v>5.0</v>
      </c>
      <c r="N8" s="25">
        <f>ROUND(SUM(G39),1)</f>
        <v>5</v>
      </c>
    </row>
    <row r="9">
      <c r="H9" s="9"/>
      <c r="L9" s="41" t="s">
        <v>153</v>
      </c>
      <c r="M9" s="43"/>
      <c r="N9" s="44">
        <f>SUM(N4:N8)</f>
        <v>100</v>
      </c>
    </row>
    <row r="10">
      <c r="A10" s="45" t="s">
        <v>164</v>
      </c>
      <c r="B10" s="2"/>
      <c r="C10" s="45" t="s">
        <v>167</v>
      </c>
      <c r="D10" s="2"/>
      <c r="E10" s="45" t="s">
        <v>170</v>
      </c>
      <c r="F10" s="2"/>
      <c r="G10" s="45" t="s">
        <v>171</v>
      </c>
      <c r="H10" s="2"/>
      <c r="I10" s="48" t="s">
        <v>176</v>
      </c>
      <c r="J10" s="49"/>
    </row>
    <row r="11">
      <c r="A11" s="52">
        <f>ROUND(SUM(G16:G39),1)</f>
        <v>100</v>
      </c>
      <c r="B11" s="2"/>
      <c r="C11" s="52">
        <f>ROUND(A11/10,2)</f>
        <v>10</v>
      </c>
      <c r="D11" s="2"/>
      <c r="E11" s="52">
        <f>COUNTIF(F16:F39,"&gt;=3")</f>
        <v>24</v>
      </c>
      <c r="F11" s="2"/>
      <c r="G11" s="52">
        <f>COUNTIF(J16:J39,"Thiếu minh chứng")</f>
        <v>0</v>
      </c>
      <c r="H11" s="2"/>
      <c r="I11" s="57"/>
      <c r="J11" s="58"/>
    </row>
    <row r="12">
      <c r="H12" s="9"/>
    </row>
    <row r="13">
      <c r="H13" s="9"/>
    </row>
    <row r="14">
      <c r="H14" s="9"/>
    </row>
    <row r="15">
      <c r="A15" s="10" t="s">
        <v>18</v>
      </c>
      <c r="B15" s="10" t="s">
        <v>63</v>
      </c>
      <c r="C15" s="10" t="s">
        <v>215</v>
      </c>
      <c r="D15" s="10" t="s">
        <v>216</v>
      </c>
      <c r="E15" s="10" t="s">
        <v>70</v>
      </c>
      <c r="F15" s="10" t="s">
        <v>217</v>
      </c>
      <c r="G15" s="10" t="s">
        <v>220</v>
      </c>
      <c r="H15" s="10" t="s">
        <v>222</v>
      </c>
      <c r="I15" s="10" t="s">
        <v>224</v>
      </c>
      <c r="J15" s="10" t="s">
        <v>225</v>
      </c>
    </row>
    <row r="16" ht="78.0" customHeight="1">
      <c r="A16" s="64">
        <v>1.0</v>
      </c>
      <c r="B16" s="66" t="s">
        <v>227</v>
      </c>
      <c r="C16" s="64" t="s">
        <v>228</v>
      </c>
      <c r="D16" s="64" t="s">
        <v>229</v>
      </c>
      <c r="E16" s="64">
        <v>7.0</v>
      </c>
      <c r="F16" s="68">
        <v>4.0</v>
      </c>
      <c r="G16" s="69">
        <f t="shared" ref="G16:G39" si="1">IF(F16="",0,E16*F16/4)</f>
        <v>7</v>
      </c>
      <c r="H16" s="70" t="s">
        <v>234</v>
      </c>
      <c r="I16" s="71" t="s">
        <v>238</v>
      </c>
      <c r="J16" s="64" t="str">
        <f t="shared" ref="J16:J39" si="2">IF(AND(F16&gt;=3,LEN(H16)=0),"Thiếu minh chứng","")</f>
        <v/>
      </c>
    </row>
    <row r="17" ht="78.0" customHeight="1">
      <c r="A17" s="64">
        <v>2.0</v>
      </c>
      <c r="B17" s="66" t="s">
        <v>227</v>
      </c>
      <c r="C17" s="64" t="s">
        <v>242</v>
      </c>
      <c r="D17" s="64" t="s">
        <v>245</v>
      </c>
      <c r="E17" s="64">
        <v>6.0</v>
      </c>
      <c r="F17" s="68">
        <v>4.0</v>
      </c>
      <c r="G17" s="69">
        <f t="shared" si="1"/>
        <v>6</v>
      </c>
      <c r="H17" s="70" t="s">
        <v>246</v>
      </c>
      <c r="I17" s="71" t="s">
        <v>249</v>
      </c>
      <c r="J17" s="64" t="str">
        <f t="shared" si="2"/>
        <v/>
      </c>
    </row>
    <row r="18" ht="78.0" customHeight="1">
      <c r="A18" s="64">
        <v>3.0</v>
      </c>
      <c r="B18" s="66" t="s">
        <v>227</v>
      </c>
      <c r="C18" s="64" t="s">
        <v>250</v>
      </c>
      <c r="D18" s="64" t="s">
        <v>251</v>
      </c>
      <c r="E18" s="64">
        <v>5.0</v>
      </c>
      <c r="F18" s="68">
        <v>4.0</v>
      </c>
      <c r="G18" s="69">
        <f t="shared" si="1"/>
        <v>5</v>
      </c>
      <c r="H18" s="70" t="s">
        <v>258</v>
      </c>
      <c r="I18" s="71" t="s">
        <v>266</v>
      </c>
      <c r="J18" s="64" t="str">
        <f t="shared" si="2"/>
        <v/>
      </c>
    </row>
    <row r="19" ht="78.0" customHeight="1">
      <c r="A19" s="64">
        <v>4.0</v>
      </c>
      <c r="B19" s="66" t="s">
        <v>227</v>
      </c>
      <c r="C19" s="64" t="s">
        <v>272</v>
      </c>
      <c r="D19" s="64" t="s">
        <v>276</v>
      </c>
      <c r="E19" s="64">
        <v>5.0</v>
      </c>
      <c r="F19" s="68">
        <v>4.0</v>
      </c>
      <c r="G19" s="69">
        <f t="shared" si="1"/>
        <v>5</v>
      </c>
      <c r="H19" s="70" t="s">
        <v>278</v>
      </c>
      <c r="I19" s="71" t="s">
        <v>281</v>
      </c>
      <c r="J19" s="64" t="str">
        <f t="shared" si="2"/>
        <v/>
      </c>
    </row>
    <row r="20" ht="78.0" customHeight="1">
      <c r="A20" s="64">
        <v>5.0</v>
      </c>
      <c r="B20" s="66" t="s">
        <v>227</v>
      </c>
      <c r="C20" s="64" t="s">
        <v>284</v>
      </c>
      <c r="D20" s="64" t="s">
        <v>285</v>
      </c>
      <c r="E20" s="64">
        <v>4.0</v>
      </c>
      <c r="F20" s="68">
        <v>4.0</v>
      </c>
      <c r="G20" s="69">
        <f t="shared" si="1"/>
        <v>4</v>
      </c>
      <c r="H20" s="70" t="s">
        <v>287</v>
      </c>
      <c r="I20" s="71" t="s">
        <v>291</v>
      </c>
      <c r="J20" s="64" t="str">
        <f t="shared" si="2"/>
        <v/>
      </c>
    </row>
    <row r="21" ht="78.0" customHeight="1">
      <c r="A21" s="64">
        <v>6.0</v>
      </c>
      <c r="B21" s="66" t="s">
        <v>227</v>
      </c>
      <c r="C21" s="64" t="s">
        <v>293</v>
      </c>
      <c r="D21" s="64" t="s">
        <v>294</v>
      </c>
      <c r="E21" s="64">
        <v>4.0</v>
      </c>
      <c r="F21" s="68">
        <v>4.0</v>
      </c>
      <c r="G21" s="69">
        <f t="shared" si="1"/>
        <v>4</v>
      </c>
      <c r="H21" s="70" t="s">
        <v>298</v>
      </c>
      <c r="I21" s="71" t="s">
        <v>307</v>
      </c>
      <c r="J21" s="64" t="str">
        <f t="shared" si="2"/>
        <v/>
      </c>
    </row>
    <row r="22" ht="78.0" customHeight="1">
      <c r="A22" s="64">
        <v>7.0</v>
      </c>
      <c r="B22" s="66" t="s">
        <v>227</v>
      </c>
      <c r="C22" s="64" t="s">
        <v>312</v>
      </c>
      <c r="D22" s="64" t="s">
        <v>314</v>
      </c>
      <c r="E22" s="64">
        <v>4.0</v>
      </c>
      <c r="F22" s="68">
        <v>4.0</v>
      </c>
      <c r="G22" s="69">
        <f t="shared" si="1"/>
        <v>4</v>
      </c>
      <c r="H22" s="70" t="s">
        <v>316</v>
      </c>
      <c r="I22" s="71" t="s">
        <v>319</v>
      </c>
      <c r="J22" s="64" t="str">
        <f t="shared" si="2"/>
        <v/>
      </c>
    </row>
    <row r="23" ht="78.0" customHeight="1">
      <c r="A23" s="64">
        <v>8.0</v>
      </c>
      <c r="B23" s="76" t="s">
        <v>320</v>
      </c>
      <c r="C23" s="64" t="s">
        <v>322</v>
      </c>
      <c r="D23" s="64" t="s">
        <v>324</v>
      </c>
      <c r="E23" s="64">
        <v>6.0</v>
      </c>
      <c r="F23" s="68">
        <v>4.0</v>
      </c>
      <c r="G23" s="69">
        <f t="shared" si="1"/>
        <v>6</v>
      </c>
      <c r="H23" s="71" t="s">
        <v>325</v>
      </c>
      <c r="I23" s="71" t="s">
        <v>327</v>
      </c>
      <c r="J23" s="64" t="str">
        <f t="shared" si="2"/>
        <v/>
      </c>
    </row>
    <row r="24" ht="78.0" customHeight="1">
      <c r="A24" s="64">
        <v>9.0</v>
      </c>
      <c r="B24" s="76" t="s">
        <v>320</v>
      </c>
      <c r="C24" s="64" t="s">
        <v>329</v>
      </c>
      <c r="D24" s="64" t="s">
        <v>330</v>
      </c>
      <c r="E24" s="64">
        <v>5.0</v>
      </c>
      <c r="F24" s="68">
        <v>4.0</v>
      </c>
      <c r="G24" s="69">
        <f t="shared" si="1"/>
        <v>5</v>
      </c>
      <c r="H24" s="70" t="s">
        <v>334</v>
      </c>
      <c r="I24" s="71" t="s">
        <v>341</v>
      </c>
      <c r="J24" s="64" t="str">
        <f t="shared" si="2"/>
        <v/>
      </c>
    </row>
    <row r="25" ht="78.0" customHeight="1">
      <c r="A25" s="64">
        <v>10.0</v>
      </c>
      <c r="B25" s="76" t="s">
        <v>320</v>
      </c>
      <c r="C25" s="64" t="s">
        <v>343</v>
      </c>
      <c r="D25" s="64" t="s">
        <v>345</v>
      </c>
      <c r="E25" s="64">
        <v>5.0</v>
      </c>
      <c r="F25" s="68">
        <v>4.0</v>
      </c>
      <c r="G25" s="69">
        <f t="shared" si="1"/>
        <v>5</v>
      </c>
      <c r="H25" s="71" t="s">
        <v>346</v>
      </c>
      <c r="I25" s="71" t="s">
        <v>347</v>
      </c>
      <c r="J25" s="64" t="str">
        <f t="shared" si="2"/>
        <v/>
      </c>
    </row>
    <row r="26" ht="78.0" customHeight="1">
      <c r="A26" s="64">
        <v>11.0</v>
      </c>
      <c r="B26" s="76" t="s">
        <v>320</v>
      </c>
      <c r="C26" s="64" t="s">
        <v>354</v>
      </c>
      <c r="D26" s="64" t="s">
        <v>357</v>
      </c>
      <c r="E26" s="64">
        <v>6.0</v>
      </c>
      <c r="F26" s="68">
        <v>4.0</v>
      </c>
      <c r="G26" s="69">
        <f t="shared" si="1"/>
        <v>6</v>
      </c>
      <c r="H26" s="70" t="s">
        <v>360</v>
      </c>
      <c r="I26" s="71" t="s">
        <v>366</v>
      </c>
      <c r="J26" s="64" t="str">
        <f t="shared" si="2"/>
        <v/>
      </c>
    </row>
    <row r="27" ht="78.0" customHeight="1">
      <c r="A27" s="64">
        <v>12.0</v>
      </c>
      <c r="B27" s="76" t="s">
        <v>320</v>
      </c>
      <c r="C27" s="64" t="s">
        <v>369</v>
      </c>
      <c r="D27" s="64" t="s">
        <v>370</v>
      </c>
      <c r="E27" s="64">
        <v>4.0</v>
      </c>
      <c r="F27" s="68">
        <v>4.0</v>
      </c>
      <c r="G27" s="69">
        <f t="shared" si="1"/>
        <v>4</v>
      </c>
      <c r="H27" s="70" t="s">
        <v>373</v>
      </c>
      <c r="I27" s="71" t="s">
        <v>376</v>
      </c>
      <c r="J27" s="64" t="str">
        <f t="shared" si="2"/>
        <v/>
      </c>
    </row>
    <row r="28" ht="78.0" customHeight="1">
      <c r="A28" s="64">
        <v>13.0</v>
      </c>
      <c r="B28" s="76" t="s">
        <v>320</v>
      </c>
      <c r="C28" s="64" t="s">
        <v>377</v>
      </c>
      <c r="D28" s="64" t="s">
        <v>379</v>
      </c>
      <c r="E28" s="64">
        <v>5.0</v>
      </c>
      <c r="F28" s="68">
        <v>4.0</v>
      </c>
      <c r="G28" s="69">
        <f t="shared" si="1"/>
        <v>5</v>
      </c>
      <c r="H28" s="70" t="s">
        <v>385</v>
      </c>
      <c r="I28" s="71" t="s">
        <v>388</v>
      </c>
      <c r="J28" s="64" t="str">
        <f t="shared" si="2"/>
        <v/>
      </c>
    </row>
    <row r="29" ht="78.0" customHeight="1">
      <c r="A29" s="64">
        <v>14.0</v>
      </c>
      <c r="B29" s="76" t="s">
        <v>320</v>
      </c>
      <c r="C29" s="64" t="s">
        <v>391</v>
      </c>
      <c r="D29" s="64" t="s">
        <v>392</v>
      </c>
      <c r="E29" s="64">
        <v>3.0</v>
      </c>
      <c r="F29" s="68">
        <v>4.0</v>
      </c>
      <c r="G29" s="69">
        <f t="shared" si="1"/>
        <v>3</v>
      </c>
      <c r="H29" s="71" t="s">
        <v>396</v>
      </c>
      <c r="I29" s="71" t="s">
        <v>397</v>
      </c>
      <c r="J29" s="64" t="str">
        <f t="shared" si="2"/>
        <v/>
      </c>
    </row>
    <row r="30" ht="78.0" customHeight="1">
      <c r="A30" s="64">
        <v>15.0</v>
      </c>
      <c r="B30" s="76" t="s">
        <v>320</v>
      </c>
      <c r="C30" s="64" t="s">
        <v>398</v>
      </c>
      <c r="D30" s="64" t="s">
        <v>399</v>
      </c>
      <c r="E30" s="64">
        <v>3.0</v>
      </c>
      <c r="F30" s="68">
        <v>4.0</v>
      </c>
      <c r="G30" s="69">
        <f t="shared" si="1"/>
        <v>3</v>
      </c>
      <c r="H30" s="70" t="s">
        <v>401</v>
      </c>
      <c r="I30" s="71" t="s">
        <v>403</v>
      </c>
      <c r="J30" s="64" t="str">
        <f t="shared" si="2"/>
        <v/>
      </c>
    </row>
    <row r="31" ht="78.0" customHeight="1">
      <c r="A31" s="64">
        <v>16.0</v>
      </c>
      <c r="B31" s="76" t="s">
        <v>320</v>
      </c>
      <c r="C31" s="64" t="s">
        <v>404</v>
      </c>
      <c r="D31" s="64" t="s">
        <v>405</v>
      </c>
      <c r="E31" s="64">
        <v>2.0</v>
      </c>
      <c r="F31" s="68">
        <v>4.0</v>
      </c>
      <c r="G31" s="69">
        <f t="shared" si="1"/>
        <v>2</v>
      </c>
      <c r="H31" s="70" t="s">
        <v>407</v>
      </c>
      <c r="I31" s="71" t="s">
        <v>409</v>
      </c>
      <c r="J31" s="64" t="str">
        <f t="shared" si="2"/>
        <v/>
      </c>
    </row>
    <row r="32" ht="78.0" customHeight="1">
      <c r="A32" s="64">
        <v>17.0</v>
      </c>
      <c r="B32" s="76" t="s">
        <v>320</v>
      </c>
      <c r="C32" s="64" t="s">
        <v>411</v>
      </c>
      <c r="D32" s="64" t="s">
        <v>412</v>
      </c>
      <c r="E32" s="64">
        <v>1.0</v>
      </c>
      <c r="F32" s="68">
        <v>4.0</v>
      </c>
      <c r="G32" s="69">
        <f t="shared" si="1"/>
        <v>1</v>
      </c>
      <c r="H32" s="86" t="s">
        <v>413</v>
      </c>
      <c r="I32" s="87" t="s">
        <v>414</v>
      </c>
      <c r="J32" s="64" t="str">
        <f t="shared" si="2"/>
        <v/>
      </c>
    </row>
    <row r="33" ht="78.0" customHeight="1">
      <c r="A33" s="64">
        <v>18.0</v>
      </c>
      <c r="B33" s="88" t="s">
        <v>415</v>
      </c>
      <c r="C33" s="64" t="s">
        <v>416</v>
      </c>
      <c r="D33" s="64" t="s">
        <v>417</v>
      </c>
      <c r="E33" s="64">
        <v>4.0</v>
      </c>
      <c r="F33" s="68">
        <v>4.0</v>
      </c>
      <c r="G33" s="69">
        <f t="shared" si="1"/>
        <v>4</v>
      </c>
      <c r="H33" s="86" t="s">
        <v>418</v>
      </c>
      <c r="I33" s="71" t="s">
        <v>419</v>
      </c>
      <c r="J33" s="64" t="str">
        <f t="shared" si="2"/>
        <v/>
      </c>
    </row>
    <row r="34" ht="78.0" customHeight="1">
      <c r="A34" s="64">
        <v>19.0</v>
      </c>
      <c r="B34" s="88" t="s">
        <v>415</v>
      </c>
      <c r="C34" s="64" t="s">
        <v>420</v>
      </c>
      <c r="D34" s="64" t="s">
        <v>421</v>
      </c>
      <c r="E34" s="64">
        <v>6.0</v>
      </c>
      <c r="F34" s="68">
        <v>4.0</v>
      </c>
      <c r="G34" s="69">
        <f t="shared" si="1"/>
        <v>6</v>
      </c>
      <c r="H34" s="70" t="s">
        <v>422</v>
      </c>
      <c r="I34" s="71" t="s">
        <v>423</v>
      </c>
      <c r="J34" s="64" t="str">
        <f t="shared" si="2"/>
        <v/>
      </c>
    </row>
    <row r="35" ht="78.0" customHeight="1">
      <c r="A35" s="64">
        <v>20.0</v>
      </c>
      <c r="B35" s="88" t="s">
        <v>415</v>
      </c>
      <c r="C35" s="64" t="s">
        <v>424</v>
      </c>
      <c r="D35" s="64" t="s">
        <v>425</v>
      </c>
      <c r="E35" s="64">
        <v>3.0</v>
      </c>
      <c r="F35" s="68">
        <v>4.0</v>
      </c>
      <c r="G35" s="69">
        <f t="shared" si="1"/>
        <v>3</v>
      </c>
      <c r="H35" s="70" t="s">
        <v>426</v>
      </c>
      <c r="I35" s="71" t="s">
        <v>427</v>
      </c>
      <c r="J35" s="64" t="str">
        <f t="shared" si="2"/>
        <v/>
      </c>
    </row>
    <row r="36" ht="78.0" customHeight="1">
      <c r="A36" s="64">
        <v>21.0</v>
      </c>
      <c r="B36" s="88" t="s">
        <v>415</v>
      </c>
      <c r="C36" s="64" t="s">
        <v>428</v>
      </c>
      <c r="D36" s="64" t="s">
        <v>429</v>
      </c>
      <c r="E36" s="64">
        <v>2.0</v>
      </c>
      <c r="F36" s="68">
        <v>4.0</v>
      </c>
      <c r="G36" s="69">
        <f t="shared" si="1"/>
        <v>2</v>
      </c>
      <c r="H36" s="70" t="s">
        <v>430</v>
      </c>
      <c r="I36" s="71" t="s">
        <v>431</v>
      </c>
      <c r="J36" s="64" t="str">
        <f t="shared" si="2"/>
        <v/>
      </c>
    </row>
    <row r="37" ht="78.0" customHeight="1">
      <c r="A37" s="64">
        <v>22.0</v>
      </c>
      <c r="B37" s="89" t="s">
        <v>432</v>
      </c>
      <c r="C37" s="64" t="s">
        <v>433</v>
      </c>
      <c r="D37" s="64" t="s">
        <v>434</v>
      </c>
      <c r="E37" s="64">
        <v>3.0</v>
      </c>
      <c r="F37" s="68">
        <v>4.0</v>
      </c>
      <c r="G37" s="69">
        <f t="shared" si="1"/>
        <v>3</v>
      </c>
      <c r="H37" s="70" t="s">
        <v>435</v>
      </c>
      <c r="I37" s="71" t="s">
        <v>436</v>
      </c>
      <c r="J37" s="64" t="str">
        <f t="shared" si="2"/>
        <v/>
      </c>
    </row>
    <row r="38" ht="78.0" customHeight="1">
      <c r="A38" s="64">
        <v>23.0</v>
      </c>
      <c r="B38" s="89" t="s">
        <v>432</v>
      </c>
      <c r="C38" s="64" t="s">
        <v>437</v>
      </c>
      <c r="D38" s="64" t="s">
        <v>438</v>
      </c>
      <c r="E38" s="64">
        <v>2.0</v>
      </c>
      <c r="F38" s="68">
        <v>4.0</v>
      </c>
      <c r="G38" s="69">
        <f t="shared" si="1"/>
        <v>2</v>
      </c>
      <c r="H38" s="70" t="s">
        <v>439</v>
      </c>
      <c r="I38" s="71" t="s">
        <v>440</v>
      </c>
      <c r="J38" s="64" t="str">
        <f t="shared" si="2"/>
        <v/>
      </c>
    </row>
    <row r="39" ht="78.0" customHeight="1">
      <c r="A39" s="64">
        <v>24.0</v>
      </c>
      <c r="B39" s="90" t="s">
        <v>441</v>
      </c>
      <c r="C39" s="64" t="s">
        <v>442</v>
      </c>
      <c r="D39" s="64" t="s">
        <v>443</v>
      </c>
      <c r="E39" s="64">
        <v>5.0</v>
      </c>
      <c r="F39" s="68">
        <v>4.0</v>
      </c>
      <c r="G39" s="69">
        <f t="shared" si="1"/>
        <v>5</v>
      </c>
      <c r="H39" s="70" t="s">
        <v>444</v>
      </c>
      <c r="I39" s="71" t="s">
        <v>445</v>
      </c>
      <c r="J39" s="64" t="str">
        <f t="shared" si="2"/>
        <v/>
      </c>
    </row>
    <row r="40">
      <c r="A40" s="91" t="s">
        <v>153</v>
      </c>
      <c r="B40" s="92"/>
      <c r="C40" s="92"/>
      <c r="D40" s="43"/>
      <c r="E40" s="93">
        <f>SUM(E16:E39)</f>
        <v>100</v>
      </c>
      <c r="F40" s="93"/>
      <c r="G40" s="93">
        <f>ROUND(SUM(G16:G39),1)</f>
        <v>100</v>
      </c>
      <c r="H40" s="94"/>
      <c r="I40" s="93"/>
      <c r="J40" s="93"/>
    </row>
    <row r="41">
      <c r="H41" s="9"/>
    </row>
    <row r="42">
      <c r="H42" s="9"/>
    </row>
    <row r="43">
      <c r="H43" s="9"/>
    </row>
    <row r="44">
      <c r="H44" s="9"/>
    </row>
    <row r="45">
      <c r="H45" s="9"/>
    </row>
    <row r="46">
      <c r="H46" s="9"/>
    </row>
    <row r="47">
      <c r="H47" s="9"/>
    </row>
    <row r="48">
      <c r="H48" s="9"/>
    </row>
    <row r="49">
      <c r="H49" s="9"/>
    </row>
    <row r="50">
      <c r="H50" s="9"/>
    </row>
    <row r="51">
      <c r="H51" s="9"/>
    </row>
    <row r="52">
      <c r="H52" s="9"/>
    </row>
    <row r="53">
      <c r="H53" s="9"/>
    </row>
    <row r="54">
      <c r="H54" s="9"/>
    </row>
    <row r="55">
      <c r="H55" s="9"/>
    </row>
    <row r="56">
      <c r="H56" s="9"/>
    </row>
    <row r="57">
      <c r="H57" s="9"/>
    </row>
    <row r="58">
      <c r="H58" s="9"/>
    </row>
    <row r="59">
      <c r="H59" s="9"/>
    </row>
    <row r="60">
      <c r="H60" s="9"/>
    </row>
    <row r="61">
      <c r="H61" s="9"/>
    </row>
    <row r="62">
      <c r="H62" s="9"/>
    </row>
    <row r="63">
      <c r="H63" s="9"/>
    </row>
    <row r="64">
      <c r="H64" s="9"/>
    </row>
    <row r="65">
      <c r="H65" s="9"/>
    </row>
    <row r="66">
      <c r="H66" s="9"/>
    </row>
    <row r="67">
      <c r="H67" s="9"/>
    </row>
    <row r="68">
      <c r="H68" s="9"/>
    </row>
    <row r="69">
      <c r="H69" s="9"/>
    </row>
    <row r="70">
      <c r="H70" s="9"/>
    </row>
    <row r="71">
      <c r="H71" s="9"/>
    </row>
    <row r="72">
      <c r="H72" s="9"/>
    </row>
    <row r="73">
      <c r="H73" s="9"/>
    </row>
    <row r="74">
      <c r="H74" s="9"/>
    </row>
    <row r="75">
      <c r="H75" s="9"/>
    </row>
    <row r="76">
      <c r="H76" s="9"/>
    </row>
    <row r="77">
      <c r="H77" s="9"/>
    </row>
    <row r="78">
      <c r="H78" s="9"/>
    </row>
    <row r="79">
      <c r="H79" s="9"/>
    </row>
    <row r="80">
      <c r="H80" s="9"/>
    </row>
    <row r="81">
      <c r="H81" s="9"/>
    </row>
    <row r="82">
      <c r="H82" s="9"/>
    </row>
    <row r="83">
      <c r="H83" s="9"/>
    </row>
    <row r="84">
      <c r="H84" s="9"/>
    </row>
    <row r="85">
      <c r="H85" s="9"/>
    </row>
    <row r="86">
      <c r="H86" s="9"/>
    </row>
    <row r="87">
      <c r="H87" s="9"/>
    </row>
    <row r="88">
      <c r="H88" s="9"/>
    </row>
    <row r="89">
      <c r="H89" s="9"/>
    </row>
    <row r="90">
      <c r="H90" s="9"/>
    </row>
    <row r="91">
      <c r="H91" s="9"/>
    </row>
    <row r="92">
      <c r="H92" s="9"/>
    </row>
    <row r="93">
      <c r="H93" s="9"/>
    </row>
    <row r="94">
      <c r="H94" s="9"/>
    </row>
    <row r="95">
      <c r="H95" s="9"/>
    </row>
    <row r="96">
      <c r="H96" s="9"/>
    </row>
    <row r="97">
      <c r="H97" s="9"/>
    </row>
    <row r="98">
      <c r="H98" s="9"/>
    </row>
    <row r="99">
      <c r="H99" s="9"/>
    </row>
    <row r="100">
      <c r="H100" s="9"/>
    </row>
    <row r="101">
      <c r="H101" s="9"/>
    </row>
    <row r="102">
      <c r="H102" s="9"/>
    </row>
    <row r="103">
      <c r="H103" s="9"/>
    </row>
    <row r="104">
      <c r="H104" s="9"/>
    </row>
    <row r="105">
      <c r="H105" s="9"/>
    </row>
    <row r="106">
      <c r="H106" s="9"/>
    </row>
    <row r="107">
      <c r="H107" s="9"/>
    </row>
    <row r="108">
      <c r="H108" s="9"/>
    </row>
    <row r="109">
      <c r="H109" s="9"/>
    </row>
    <row r="110">
      <c r="H110" s="9"/>
    </row>
    <row r="111">
      <c r="H111" s="9"/>
    </row>
    <row r="112">
      <c r="H112" s="9"/>
    </row>
    <row r="113">
      <c r="H113" s="9"/>
    </row>
    <row r="114">
      <c r="H114" s="9"/>
    </row>
    <row r="115">
      <c r="H115" s="9"/>
    </row>
    <row r="116">
      <c r="H116" s="9"/>
    </row>
    <row r="117">
      <c r="H117" s="9"/>
    </row>
    <row r="118">
      <c r="H118" s="9"/>
    </row>
    <row r="119">
      <c r="H119" s="9"/>
    </row>
    <row r="120">
      <c r="H120" s="9"/>
    </row>
    <row r="121">
      <c r="H121" s="9"/>
    </row>
    <row r="122">
      <c r="H122" s="9"/>
    </row>
    <row r="123">
      <c r="H123" s="9"/>
    </row>
    <row r="124">
      <c r="H124" s="9"/>
    </row>
    <row r="125">
      <c r="H125" s="9"/>
    </row>
    <row r="126">
      <c r="H126" s="9"/>
    </row>
    <row r="127">
      <c r="H127" s="9"/>
    </row>
    <row r="128">
      <c r="H128" s="9"/>
    </row>
    <row r="129">
      <c r="H129" s="9"/>
    </row>
    <row r="130">
      <c r="H130" s="9"/>
    </row>
    <row r="131">
      <c r="H131" s="9"/>
    </row>
    <row r="132">
      <c r="H132" s="9"/>
    </row>
    <row r="133">
      <c r="H133" s="9"/>
    </row>
    <row r="134">
      <c r="H134" s="9"/>
    </row>
    <row r="135">
      <c r="H135" s="9"/>
    </row>
    <row r="136">
      <c r="H136" s="9"/>
    </row>
    <row r="137">
      <c r="H137" s="9"/>
    </row>
    <row r="138">
      <c r="H138" s="9"/>
    </row>
    <row r="139">
      <c r="H139" s="9"/>
    </row>
    <row r="140">
      <c r="H140" s="9"/>
    </row>
    <row r="141">
      <c r="H141" s="9"/>
    </row>
    <row r="142">
      <c r="H142" s="9"/>
    </row>
    <row r="143">
      <c r="H143" s="9"/>
    </row>
    <row r="144">
      <c r="H144" s="9"/>
    </row>
    <row r="145">
      <c r="H145" s="9"/>
    </row>
    <row r="146">
      <c r="H146" s="9"/>
    </row>
    <row r="147">
      <c r="H147" s="9"/>
    </row>
    <row r="148">
      <c r="H148" s="9"/>
    </row>
    <row r="149">
      <c r="H149" s="9"/>
    </row>
    <row r="150">
      <c r="H150" s="9"/>
    </row>
    <row r="151">
      <c r="H151" s="9"/>
    </row>
    <row r="152">
      <c r="H152" s="9"/>
    </row>
    <row r="153">
      <c r="H153" s="9"/>
    </row>
    <row r="154">
      <c r="H154" s="9"/>
    </row>
    <row r="155">
      <c r="H155" s="9"/>
    </row>
    <row r="156">
      <c r="H156" s="9"/>
    </row>
    <row r="157">
      <c r="H157" s="9"/>
    </row>
    <row r="158">
      <c r="H158" s="9"/>
    </row>
    <row r="159">
      <c r="H159" s="9"/>
    </row>
    <row r="160">
      <c r="H160" s="9"/>
    </row>
    <row r="161">
      <c r="H161" s="9"/>
    </row>
    <row r="162">
      <c r="H162" s="9"/>
    </row>
    <row r="163">
      <c r="H163" s="9"/>
    </row>
    <row r="164">
      <c r="H164" s="9"/>
    </row>
    <row r="165">
      <c r="H165" s="9"/>
    </row>
    <row r="166">
      <c r="H166" s="9"/>
    </row>
    <row r="167">
      <c r="H167" s="9"/>
    </row>
    <row r="168">
      <c r="H168" s="9"/>
    </row>
    <row r="169">
      <c r="H169" s="9"/>
    </row>
    <row r="170">
      <c r="H170" s="9"/>
    </row>
    <row r="171">
      <c r="H171" s="9"/>
    </row>
    <row r="172">
      <c r="H172" s="9"/>
    </row>
    <row r="173">
      <c r="H173" s="9"/>
    </row>
    <row r="174">
      <c r="H174" s="9"/>
    </row>
    <row r="175">
      <c r="H175" s="9"/>
    </row>
    <row r="176">
      <c r="H176" s="9"/>
    </row>
    <row r="177">
      <c r="H177" s="9"/>
    </row>
    <row r="178">
      <c r="H178" s="9"/>
    </row>
    <row r="179">
      <c r="H179" s="9"/>
    </row>
    <row r="180">
      <c r="H180" s="9"/>
    </row>
    <row r="181">
      <c r="H181" s="9"/>
    </row>
    <row r="182">
      <c r="H182" s="9"/>
    </row>
    <row r="183">
      <c r="H183" s="9"/>
    </row>
    <row r="184">
      <c r="H184" s="9"/>
    </row>
    <row r="185">
      <c r="H185" s="9"/>
    </row>
    <row r="186">
      <c r="H186" s="9"/>
    </row>
    <row r="187">
      <c r="H187" s="9"/>
    </row>
    <row r="188">
      <c r="H188" s="9"/>
    </row>
    <row r="189">
      <c r="H189" s="9"/>
    </row>
    <row r="190">
      <c r="H190" s="9"/>
    </row>
    <row r="191">
      <c r="H191" s="9"/>
    </row>
    <row r="192">
      <c r="H192" s="9"/>
    </row>
    <row r="193">
      <c r="H193" s="9"/>
    </row>
    <row r="194">
      <c r="H194" s="9"/>
    </row>
    <row r="195">
      <c r="H195" s="9"/>
    </row>
    <row r="196">
      <c r="H196" s="9"/>
    </row>
    <row r="197">
      <c r="H197" s="9"/>
    </row>
    <row r="198">
      <c r="H198" s="9"/>
    </row>
    <row r="199">
      <c r="H199" s="9"/>
    </row>
    <row r="200">
      <c r="H200" s="9"/>
    </row>
    <row r="201">
      <c r="H201" s="9"/>
    </row>
    <row r="202">
      <c r="H202" s="9"/>
    </row>
    <row r="203">
      <c r="H203" s="9"/>
    </row>
    <row r="204">
      <c r="H204" s="9"/>
    </row>
    <row r="205">
      <c r="H205" s="9"/>
    </row>
    <row r="206">
      <c r="H206" s="9"/>
    </row>
    <row r="207">
      <c r="H207" s="9"/>
    </row>
    <row r="208">
      <c r="H208" s="9"/>
    </row>
    <row r="209">
      <c r="H209" s="9"/>
    </row>
    <row r="210">
      <c r="H210" s="9"/>
    </row>
    <row r="211">
      <c r="H211" s="9"/>
    </row>
    <row r="212">
      <c r="H212" s="9"/>
    </row>
    <row r="213">
      <c r="H213" s="9"/>
    </row>
    <row r="214">
      <c r="H214" s="9"/>
    </row>
    <row r="215">
      <c r="H215" s="9"/>
    </row>
    <row r="216">
      <c r="H216" s="9"/>
    </row>
    <row r="217">
      <c r="H217" s="9"/>
    </row>
    <row r="218">
      <c r="H218" s="9"/>
    </row>
    <row r="219">
      <c r="H219" s="9"/>
    </row>
    <row r="220">
      <c r="H220" s="9"/>
    </row>
    <row r="221">
      <c r="H221" s="9"/>
    </row>
    <row r="222">
      <c r="H222" s="9"/>
    </row>
    <row r="223">
      <c r="H223" s="9"/>
    </row>
    <row r="224">
      <c r="H224" s="9"/>
    </row>
    <row r="225">
      <c r="H225" s="9"/>
    </row>
    <row r="226">
      <c r="H226" s="9"/>
    </row>
    <row r="227">
      <c r="H227" s="9"/>
    </row>
    <row r="228">
      <c r="H228" s="9"/>
    </row>
    <row r="229">
      <c r="H229" s="9"/>
    </row>
    <row r="230">
      <c r="H230" s="9"/>
    </row>
    <row r="231">
      <c r="H231" s="9"/>
    </row>
    <row r="232">
      <c r="H232" s="9"/>
    </row>
    <row r="233">
      <c r="H233" s="9"/>
    </row>
    <row r="234">
      <c r="H234" s="9"/>
    </row>
    <row r="235">
      <c r="H235" s="9"/>
    </row>
    <row r="236">
      <c r="H236" s="9"/>
    </row>
    <row r="237">
      <c r="H237" s="9"/>
    </row>
    <row r="238">
      <c r="H238" s="9"/>
    </row>
    <row r="239">
      <c r="H239" s="9"/>
    </row>
    <row r="240">
      <c r="H240" s="9"/>
    </row>
    <row r="241">
      <c r="H241" s="9"/>
    </row>
    <row r="242">
      <c r="H242" s="9"/>
    </row>
    <row r="243">
      <c r="H243" s="9"/>
    </row>
    <row r="244">
      <c r="H244" s="9"/>
    </row>
    <row r="245">
      <c r="H245" s="9"/>
    </row>
    <row r="246">
      <c r="H246" s="9"/>
    </row>
    <row r="247">
      <c r="H247" s="9"/>
    </row>
    <row r="248">
      <c r="H248" s="9"/>
    </row>
    <row r="249">
      <c r="H249" s="9"/>
    </row>
    <row r="250">
      <c r="H250" s="9"/>
    </row>
    <row r="251">
      <c r="H251" s="9"/>
    </row>
    <row r="252">
      <c r="H252" s="9"/>
    </row>
    <row r="253">
      <c r="H253" s="9"/>
    </row>
    <row r="254">
      <c r="H254" s="9"/>
    </row>
    <row r="255">
      <c r="H255" s="9"/>
    </row>
    <row r="256">
      <c r="H256" s="9"/>
    </row>
    <row r="257">
      <c r="H257" s="9"/>
    </row>
    <row r="258">
      <c r="H258" s="9"/>
    </row>
    <row r="259">
      <c r="H259" s="9"/>
    </row>
    <row r="260">
      <c r="H260" s="9"/>
    </row>
    <row r="261">
      <c r="H261" s="9"/>
    </row>
    <row r="262">
      <c r="H262" s="9"/>
    </row>
    <row r="263">
      <c r="H263" s="9"/>
    </row>
    <row r="264">
      <c r="H264" s="9"/>
    </row>
    <row r="265">
      <c r="H265" s="9"/>
    </row>
    <row r="266">
      <c r="H266" s="9"/>
    </row>
    <row r="267">
      <c r="H267" s="9"/>
    </row>
    <row r="268">
      <c r="H268" s="9"/>
    </row>
    <row r="269">
      <c r="H269" s="9"/>
    </row>
    <row r="270">
      <c r="H270" s="9"/>
    </row>
    <row r="271">
      <c r="H271" s="9"/>
    </row>
    <row r="272">
      <c r="H272" s="9"/>
    </row>
    <row r="273">
      <c r="H273" s="9"/>
    </row>
    <row r="274">
      <c r="H274" s="9"/>
    </row>
    <row r="275">
      <c r="H275" s="9"/>
    </row>
    <row r="276">
      <c r="H276" s="9"/>
    </row>
    <row r="277">
      <c r="H277" s="9"/>
    </row>
    <row r="278">
      <c r="H278" s="9"/>
    </row>
    <row r="279">
      <c r="H279" s="9"/>
    </row>
    <row r="280">
      <c r="H280" s="9"/>
    </row>
    <row r="281">
      <c r="H281" s="9"/>
    </row>
    <row r="282">
      <c r="H282" s="9"/>
    </row>
    <row r="283">
      <c r="H283" s="9"/>
    </row>
    <row r="284">
      <c r="H284" s="9"/>
    </row>
    <row r="285">
      <c r="H285" s="9"/>
    </row>
    <row r="286">
      <c r="H286" s="9"/>
    </row>
    <row r="287">
      <c r="H287" s="9"/>
    </row>
    <row r="288">
      <c r="H288" s="9"/>
    </row>
    <row r="289">
      <c r="H289" s="9"/>
    </row>
    <row r="290">
      <c r="H290" s="9"/>
    </row>
    <row r="291">
      <c r="H291" s="9"/>
    </row>
    <row r="292">
      <c r="H292" s="9"/>
    </row>
    <row r="293">
      <c r="H293" s="9"/>
    </row>
    <row r="294">
      <c r="H294" s="9"/>
    </row>
    <row r="295">
      <c r="H295" s="9"/>
    </row>
    <row r="296">
      <c r="H296" s="9"/>
    </row>
    <row r="297">
      <c r="H297" s="9"/>
    </row>
    <row r="298">
      <c r="H298" s="9"/>
    </row>
    <row r="299">
      <c r="H299" s="9"/>
    </row>
    <row r="300">
      <c r="H300" s="9"/>
    </row>
    <row r="301">
      <c r="H301" s="9"/>
    </row>
    <row r="302">
      <c r="H302" s="9"/>
    </row>
    <row r="303">
      <c r="H303" s="9"/>
    </row>
    <row r="304">
      <c r="H304" s="9"/>
    </row>
    <row r="305">
      <c r="H305" s="9"/>
    </row>
    <row r="306">
      <c r="H306" s="9"/>
    </row>
    <row r="307">
      <c r="H307" s="9"/>
    </row>
    <row r="308">
      <c r="H308" s="9"/>
    </row>
    <row r="309">
      <c r="H309" s="9"/>
    </row>
    <row r="310">
      <c r="H310" s="9"/>
    </row>
    <row r="311">
      <c r="H311" s="9"/>
    </row>
    <row r="312">
      <c r="H312" s="9"/>
    </row>
    <row r="313">
      <c r="H313" s="9"/>
    </row>
    <row r="314">
      <c r="H314" s="9"/>
    </row>
    <row r="315">
      <c r="H315" s="9"/>
    </row>
    <row r="316">
      <c r="H316" s="9"/>
    </row>
    <row r="317">
      <c r="H317" s="9"/>
    </row>
    <row r="318">
      <c r="H318" s="9"/>
    </row>
    <row r="319">
      <c r="H319" s="9"/>
    </row>
    <row r="320">
      <c r="H320" s="9"/>
    </row>
    <row r="321">
      <c r="H321" s="9"/>
    </row>
    <row r="322">
      <c r="H322" s="9"/>
    </row>
    <row r="323">
      <c r="H323" s="9"/>
    </row>
    <row r="324">
      <c r="H324" s="9"/>
    </row>
    <row r="325">
      <c r="H325" s="9"/>
    </row>
    <row r="326">
      <c r="H326" s="9"/>
    </row>
    <row r="327">
      <c r="H327" s="9"/>
    </row>
    <row r="328">
      <c r="H328" s="9"/>
    </row>
    <row r="329">
      <c r="H329" s="9"/>
    </row>
    <row r="330">
      <c r="H330" s="9"/>
    </row>
    <row r="331">
      <c r="H331" s="9"/>
    </row>
    <row r="332">
      <c r="H332" s="9"/>
    </row>
    <row r="333">
      <c r="H333" s="9"/>
    </row>
    <row r="334">
      <c r="H334" s="9"/>
    </row>
    <row r="335">
      <c r="H335" s="9"/>
    </row>
    <row r="336">
      <c r="H336" s="9"/>
    </row>
    <row r="337">
      <c r="H337" s="9"/>
    </row>
    <row r="338">
      <c r="H338" s="9"/>
    </row>
    <row r="339">
      <c r="H339" s="9"/>
    </row>
    <row r="340">
      <c r="H340" s="9"/>
    </row>
    <row r="341">
      <c r="H341" s="9"/>
    </row>
    <row r="342">
      <c r="H342" s="9"/>
    </row>
    <row r="343">
      <c r="H343" s="9"/>
    </row>
    <row r="344">
      <c r="H344" s="9"/>
    </row>
    <row r="345">
      <c r="H345" s="9"/>
    </row>
    <row r="346">
      <c r="H346" s="9"/>
    </row>
    <row r="347">
      <c r="H347" s="9"/>
    </row>
    <row r="348">
      <c r="H348" s="9"/>
    </row>
    <row r="349">
      <c r="H349" s="9"/>
    </row>
    <row r="350">
      <c r="H350" s="9"/>
    </row>
    <row r="351">
      <c r="H351" s="9"/>
    </row>
    <row r="352">
      <c r="H352" s="9"/>
    </row>
    <row r="353">
      <c r="H353" s="9"/>
    </row>
    <row r="354">
      <c r="H354" s="9"/>
    </row>
    <row r="355">
      <c r="H355" s="9"/>
    </row>
    <row r="356">
      <c r="H356" s="9"/>
    </row>
    <row r="357">
      <c r="H357" s="9"/>
    </row>
    <row r="358">
      <c r="H358" s="9"/>
    </row>
    <row r="359">
      <c r="H359" s="9"/>
    </row>
    <row r="360">
      <c r="H360" s="9"/>
    </row>
    <row r="361">
      <c r="H361" s="9"/>
    </row>
    <row r="362">
      <c r="H362" s="9"/>
    </row>
    <row r="363">
      <c r="H363" s="9"/>
    </row>
    <row r="364">
      <c r="H364" s="9"/>
    </row>
    <row r="365">
      <c r="H365" s="9"/>
    </row>
    <row r="366">
      <c r="H366" s="9"/>
    </row>
    <row r="367">
      <c r="H367" s="9"/>
    </row>
    <row r="368">
      <c r="H368" s="9"/>
    </row>
    <row r="369">
      <c r="H369" s="9"/>
    </row>
    <row r="370">
      <c r="H370" s="9"/>
    </row>
    <row r="371">
      <c r="H371" s="9"/>
    </row>
    <row r="372">
      <c r="H372" s="9"/>
    </row>
    <row r="373">
      <c r="H373" s="9"/>
    </row>
    <row r="374">
      <c r="H374" s="9"/>
    </row>
    <row r="375">
      <c r="H375" s="9"/>
    </row>
    <row r="376">
      <c r="H376" s="9"/>
    </row>
    <row r="377">
      <c r="H377" s="9"/>
    </row>
    <row r="378">
      <c r="H378" s="9"/>
    </row>
    <row r="379">
      <c r="H379" s="9"/>
    </row>
    <row r="380">
      <c r="H380" s="9"/>
    </row>
    <row r="381">
      <c r="H381" s="9"/>
    </row>
    <row r="382">
      <c r="H382" s="9"/>
    </row>
    <row r="383">
      <c r="H383" s="9"/>
    </row>
    <row r="384">
      <c r="H384" s="9"/>
    </row>
    <row r="385">
      <c r="H385" s="9"/>
    </row>
    <row r="386">
      <c r="H386" s="9"/>
    </row>
    <row r="387">
      <c r="H387" s="9"/>
    </row>
    <row r="388">
      <c r="H388" s="9"/>
    </row>
    <row r="389">
      <c r="H389" s="9"/>
    </row>
    <row r="390">
      <c r="H390" s="9"/>
    </row>
    <row r="391">
      <c r="H391" s="9"/>
    </row>
    <row r="392">
      <c r="H392" s="9"/>
    </row>
    <row r="393">
      <c r="H393" s="9"/>
    </row>
    <row r="394">
      <c r="H394" s="9"/>
    </row>
    <row r="395">
      <c r="H395" s="9"/>
    </row>
    <row r="396">
      <c r="H396" s="9"/>
    </row>
    <row r="397">
      <c r="H397" s="9"/>
    </row>
    <row r="398">
      <c r="H398" s="9"/>
    </row>
    <row r="399">
      <c r="H399" s="9"/>
    </row>
    <row r="400">
      <c r="H400" s="9"/>
    </row>
    <row r="401">
      <c r="H401" s="9"/>
    </row>
    <row r="402">
      <c r="H402" s="9"/>
    </row>
    <row r="403">
      <c r="H403" s="9"/>
    </row>
    <row r="404">
      <c r="H404" s="9"/>
    </row>
    <row r="405">
      <c r="H405" s="9"/>
    </row>
    <row r="406">
      <c r="H406" s="9"/>
    </row>
    <row r="407">
      <c r="H407" s="9"/>
    </row>
    <row r="408">
      <c r="H408" s="9"/>
    </row>
    <row r="409">
      <c r="H409" s="9"/>
    </row>
    <row r="410">
      <c r="H410" s="9"/>
    </row>
    <row r="411">
      <c r="H411" s="9"/>
    </row>
    <row r="412">
      <c r="H412" s="9"/>
    </row>
    <row r="413">
      <c r="H413" s="9"/>
    </row>
    <row r="414">
      <c r="H414" s="9"/>
    </row>
    <row r="415">
      <c r="H415" s="9"/>
    </row>
    <row r="416">
      <c r="H416" s="9"/>
    </row>
    <row r="417">
      <c r="H417" s="9"/>
    </row>
    <row r="418">
      <c r="H418" s="9"/>
    </row>
    <row r="419">
      <c r="H419" s="9"/>
    </row>
    <row r="420">
      <c r="H420" s="9"/>
    </row>
    <row r="421">
      <c r="H421" s="9"/>
    </row>
    <row r="422">
      <c r="H422" s="9"/>
    </row>
    <row r="423">
      <c r="H423" s="9"/>
    </row>
    <row r="424">
      <c r="H424" s="9"/>
    </row>
    <row r="425">
      <c r="H425" s="9"/>
    </row>
    <row r="426">
      <c r="H426" s="9"/>
    </row>
    <row r="427">
      <c r="H427" s="9"/>
    </row>
    <row r="428">
      <c r="H428" s="9"/>
    </row>
    <row r="429">
      <c r="H429" s="9"/>
    </row>
    <row r="430">
      <c r="H430" s="9"/>
    </row>
    <row r="431">
      <c r="H431" s="9"/>
    </row>
    <row r="432">
      <c r="H432" s="9"/>
    </row>
    <row r="433">
      <c r="H433" s="9"/>
    </row>
    <row r="434">
      <c r="H434" s="9"/>
    </row>
    <row r="435">
      <c r="H435" s="9"/>
    </row>
    <row r="436">
      <c r="H436" s="9"/>
    </row>
    <row r="437">
      <c r="H437" s="9"/>
    </row>
    <row r="438">
      <c r="H438" s="9"/>
    </row>
    <row r="439">
      <c r="H439" s="9"/>
    </row>
    <row r="440">
      <c r="H440" s="9"/>
    </row>
    <row r="441">
      <c r="H441" s="9"/>
    </row>
    <row r="442">
      <c r="H442" s="9"/>
    </row>
    <row r="443">
      <c r="H443" s="9"/>
    </row>
    <row r="444">
      <c r="H444" s="9"/>
    </row>
    <row r="445">
      <c r="H445" s="9"/>
    </row>
    <row r="446">
      <c r="H446" s="9"/>
    </row>
    <row r="447">
      <c r="H447" s="9"/>
    </row>
    <row r="448">
      <c r="H448" s="9"/>
    </row>
    <row r="449">
      <c r="H449" s="9"/>
    </row>
    <row r="450">
      <c r="H450" s="9"/>
    </row>
    <row r="451">
      <c r="H451" s="9"/>
    </row>
    <row r="452">
      <c r="H452" s="9"/>
    </row>
    <row r="453">
      <c r="H453" s="9"/>
    </row>
    <row r="454">
      <c r="H454" s="9"/>
    </row>
    <row r="455">
      <c r="H455" s="9"/>
    </row>
    <row r="456">
      <c r="H456" s="9"/>
    </row>
    <row r="457">
      <c r="H457" s="9"/>
    </row>
    <row r="458">
      <c r="H458" s="9"/>
    </row>
    <row r="459">
      <c r="H459" s="9"/>
    </row>
    <row r="460">
      <c r="H460" s="9"/>
    </row>
    <row r="461">
      <c r="H461" s="9"/>
    </row>
    <row r="462">
      <c r="H462" s="9"/>
    </row>
    <row r="463">
      <c r="H463" s="9"/>
    </row>
    <row r="464">
      <c r="H464" s="9"/>
    </row>
    <row r="465">
      <c r="H465" s="9"/>
    </row>
    <row r="466">
      <c r="H466" s="9"/>
    </row>
    <row r="467">
      <c r="H467" s="9"/>
    </row>
    <row r="468">
      <c r="H468" s="9"/>
    </row>
    <row r="469">
      <c r="H469" s="9"/>
    </row>
    <row r="470">
      <c r="H470" s="9"/>
    </row>
    <row r="471">
      <c r="H471" s="9"/>
    </row>
    <row r="472">
      <c r="H472" s="9"/>
    </row>
    <row r="473">
      <c r="H473" s="9"/>
    </row>
    <row r="474">
      <c r="H474" s="9"/>
    </row>
    <row r="475">
      <c r="H475" s="9"/>
    </row>
    <row r="476">
      <c r="H476" s="9"/>
    </row>
    <row r="477">
      <c r="H477" s="9"/>
    </row>
    <row r="478">
      <c r="H478" s="9"/>
    </row>
    <row r="479">
      <c r="H479" s="9"/>
    </row>
    <row r="480">
      <c r="H480" s="9"/>
    </row>
    <row r="481">
      <c r="H481" s="9"/>
    </row>
    <row r="482">
      <c r="H482" s="9"/>
    </row>
    <row r="483">
      <c r="H483" s="9"/>
    </row>
    <row r="484">
      <c r="H484" s="9"/>
    </row>
    <row r="485">
      <c r="H485" s="9"/>
    </row>
    <row r="486">
      <c r="H486" s="9"/>
    </row>
    <row r="487">
      <c r="H487" s="9"/>
    </row>
    <row r="488">
      <c r="H488" s="9"/>
    </row>
    <row r="489">
      <c r="H489" s="9"/>
    </row>
    <row r="490">
      <c r="H490" s="9"/>
    </row>
    <row r="491">
      <c r="H491" s="9"/>
    </row>
    <row r="492">
      <c r="H492" s="9"/>
    </row>
    <row r="493">
      <c r="H493" s="9"/>
    </row>
    <row r="494">
      <c r="H494" s="9"/>
    </row>
    <row r="495">
      <c r="H495" s="9"/>
    </row>
    <row r="496">
      <c r="H496" s="9"/>
    </row>
    <row r="497">
      <c r="H497" s="9"/>
    </row>
    <row r="498">
      <c r="H498" s="9"/>
    </row>
    <row r="499">
      <c r="H499" s="9"/>
    </row>
    <row r="500">
      <c r="H500" s="9"/>
    </row>
    <row r="501">
      <c r="H501" s="9"/>
    </row>
    <row r="502">
      <c r="H502" s="9"/>
    </row>
    <row r="503">
      <c r="H503" s="9"/>
    </row>
    <row r="504">
      <c r="H504" s="9"/>
    </row>
    <row r="505">
      <c r="H505" s="9"/>
    </row>
    <row r="506">
      <c r="H506" s="9"/>
    </row>
    <row r="507">
      <c r="H507" s="9"/>
    </row>
    <row r="508">
      <c r="H508" s="9"/>
    </row>
    <row r="509">
      <c r="H509" s="9"/>
    </row>
    <row r="510">
      <c r="H510" s="9"/>
    </row>
    <row r="511">
      <c r="H511" s="9"/>
    </row>
    <row r="512">
      <c r="H512" s="9"/>
    </row>
    <row r="513">
      <c r="H513" s="9"/>
    </row>
    <row r="514">
      <c r="H514" s="9"/>
    </row>
    <row r="515">
      <c r="H515" s="9"/>
    </row>
    <row r="516">
      <c r="H516" s="9"/>
    </row>
    <row r="517">
      <c r="H517" s="9"/>
    </row>
    <row r="518">
      <c r="H518" s="9"/>
    </row>
    <row r="519">
      <c r="H519" s="9"/>
    </row>
    <row r="520">
      <c r="H520" s="9"/>
    </row>
    <row r="521">
      <c r="H521" s="9"/>
    </row>
    <row r="522">
      <c r="H522" s="9"/>
    </row>
    <row r="523">
      <c r="H523" s="9"/>
    </row>
    <row r="524">
      <c r="H524" s="9"/>
    </row>
    <row r="525">
      <c r="H525" s="9"/>
    </row>
    <row r="526">
      <c r="H526" s="9"/>
    </row>
    <row r="527">
      <c r="H527" s="9"/>
    </row>
    <row r="528">
      <c r="H528" s="9"/>
    </row>
    <row r="529">
      <c r="H529" s="9"/>
    </row>
    <row r="530">
      <c r="H530" s="9"/>
    </row>
    <row r="531">
      <c r="H531" s="9"/>
    </row>
    <row r="532">
      <c r="H532" s="9"/>
    </row>
    <row r="533">
      <c r="H533" s="9"/>
    </row>
    <row r="534">
      <c r="H534" s="9"/>
    </row>
    <row r="535">
      <c r="H535" s="9"/>
    </row>
    <row r="536">
      <c r="H536" s="9"/>
    </row>
    <row r="537">
      <c r="H537" s="9"/>
    </row>
    <row r="538">
      <c r="H538" s="9"/>
    </row>
    <row r="539">
      <c r="H539" s="9"/>
    </row>
    <row r="540">
      <c r="H540" s="9"/>
    </row>
    <row r="541">
      <c r="H541" s="9"/>
    </row>
    <row r="542">
      <c r="H542" s="9"/>
    </row>
    <row r="543">
      <c r="H543" s="9"/>
    </row>
    <row r="544">
      <c r="H544" s="9"/>
    </row>
    <row r="545">
      <c r="H545" s="9"/>
    </row>
    <row r="546">
      <c r="H546" s="9"/>
    </row>
    <row r="547">
      <c r="H547" s="9"/>
    </row>
    <row r="548">
      <c r="H548" s="9"/>
    </row>
    <row r="549">
      <c r="H549" s="9"/>
    </row>
    <row r="550">
      <c r="H550" s="9"/>
    </row>
    <row r="551">
      <c r="H551" s="9"/>
    </row>
    <row r="552">
      <c r="H552" s="9"/>
    </row>
    <row r="553">
      <c r="H553" s="9"/>
    </row>
    <row r="554">
      <c r="H554" s="9"/>
    </row>
    <row r="555">
      <c r="H555" s="9"/>
    </row>
    <row r="556">
      <c r="H556" s="9"/>
    </row>
    <row r="557">
      <c r="H557" s="9"/>
    </row>
    <row r="558">
      <c r="H558" s="9"/>
    </row>
    <row r="559">
      <c r="H559" s="9"/>
    </row>
    <row r="560">
      <c r="H560" s="9"/>
    </row>
    <row r="561">
      <c r="H561" s="9"/>
    </row>
    <row r="562">
      <c r="H562" s="9"/>
    </row>
    <row r="563">
      <c r="H563" s="9"/>
    </row>
    <row r="564">
      <c r="H564" s="9"/>
    </row>
    <row r="565">
      <c r="H565" s="9"/>
    </row>
    <row r="566">
      <c r="H566" s="9"/>
    </row>
    <row r="567">
      <c r="H567" s="9"/>
    </row>
    <row r="568">
      <c r="H568" s="9"/>
    </row>
    <row r="569">
      <c r="H569" s="9"/>
    </row>
    <row r="570">
      <c r="H570" s="9"/>
    </row>
    <row r="571">
      <c r="H571" s="9"/>
    </row>
    <row r="572">
      <c r="H572" s="9"/>
    </row>
    <row r="573">
      <c r="H573" s="9"/>
    </row>
    <row r="574">
      <c r="H574" s="9"/>
    </row>
    <row r="575">
      <c r="H575" s="9"/>
    </row>
    <row r="576">
      <c r="H576" s="9"/>
    </row>
    <row r="577">
      <c r="H577" s="9"/>
    </row>
    <row r="578">
      <c r="H578" s="9"/>
    </row>
    <row r="579">
      <c r="H579" s="9"/>
    </row>
    <row r="580">
      <c r="H580" s="9"/>
    </row>
    <row r="581">
      <c r="H581" s="9"/>
    </row>
    <row r="582">
      <c r="H582" s="9"/>
    </row>
    <row r="583">
      <c r="H583" s="9"/>
    </row>
    <row r="584">
      <c r="H584" s="9"/>
    </row>
    <row r="585">
      <c r="H585" s="9"/>
    </row>
    <row r="586">
      <c r="H586" s="9"/>
    </row>
    <row r="587">
      <c r="H587" s="9"/>
    </row>
    <row r="588">
      <c r="H588" s="9"/>
    </row>
    <row r="589">
      <c r="H589" s="9"/>
    </row>
    <row r="590">
      <c r="H590" s="9"/>
    </row>
    <row r="591">
      <c r="H591" s="9"/>
    </row>
    <row r="592">
      <c r="H592" s="9"/>
    </row>
    <row r="593">
      <c r="H593" s="9"/>
    </row>
    <row r="594">
      <c r="H594" s="9"/>
    </row>
    <row r="595">
      <c r="H595" s="9"/>
    </row>
    <row r="596">
      <c r="H596" s="9"/>
    </row>
    <row r="597">
      <c r="H597" s="9"/>
    </row>
    <row r="598">
      <c r="H598" s="9"/>
    </row>
    <row r="599">
      <c r="H599" s="9"/>
    </row>
    <row r="600">
      <c r="H600" s="9"/>
    </row>
    <row r="601">
      <c r="H601" s="9"/>
    </row>
    <row r="602">
      <c r="H602" s="9"/>
    </row>
    <row r="603">
      <c r="H603" s="9"/>
    </row>
    <row r="604">
      <c r="H604" s="9"/>
    </row>
    <row r="605">
      <c r="H605" s="9"/>
    </row>
    <row r="606">
      <c r="H606" s="9"/>
    </row>
    <row r="607">
      <c r="H607" s="9"/>
    </row>
    <row r="608">
      <c r="H608" s="9"/>
    </row>
    <row r="609">
      <c r="H609" s="9"/>
    </row>
    <row r="610">
      <c r="H610" s="9"/>
    </row>
    <row r="611">
      <c r="H611" s="9"/>
    </row>
    <row r="612">
      <c r="H612" s="9"/>
    </row>
    <row r="613">
      <c r="H613" s="9"/>
    </row>
    <row r="614">
      <c r="H614" s="9"/>
    </row>
    <row r="615">
      <c r="H615" s="9"/>
    </row>
    <row r="616">
      <c r="H616" s="9"/>
    </row>
    <row r="617">
      <c r="H617" s="9"/>
    </row>
    <row r="618">
      <c r="H618" s="9"/>
    </row>
    <row r="619">
      <c r="H619" s="9"/>
    </row>
    <row r="620">
      <c r="H620" s="9"/>
    </row>
    <row r="621">
      <c r="H621" s="9"/>
    </row>
    <row r="622">
      <c r="H622" s="9"/>
    </row>
    <row r="623">
      <c r="H623" s="9"/>
    </row>
    <row r="624">
      <c r="H624" s="9"/>
    </row>
    <row r="625">
      <c r="H625" s="9"/>
    </row>
    <row r="626">
      <c r="H626" s="9"/>
    </row>
    <row r="627">
      <c r="H627" s="9"/>
    </row>
    <row r="628">
      <c r="H628" s="9"/>
    </row>
    <row r="629">
      <c r="H629" s="9"/>
    </row>
    <row r="630">
      <c r="H630" s="9"/>
    </row>
    <row r="631">
      <c r="H631" s="9"/>
    </row>
    <row r="632">
      <c r="H632" s="9"/>
    </row>
    <row r="633">
      <c r="H633" s="9"/>
    </row>
    <row r="634">
      <c r="H634" s="9"/>
    </row>
    <row r="635">
      <c r="H635" s="9"/>
    </row>
    <row r="636">
      <c r="H636" s="9"/>
    </row>
    <row r="637">
      <c r="H637" s="9"/>
    </row>
    <row r="638">
      <c r="H638" s="9"/>
    </row>
    <row r="639">
      <c r="H639" s="9"/>
    </row>
    <row r="640">
      <c r="H640" s="9"/>
    </row>
    <row r="641">
      <c r="H641" s="9"/>
    </row>
    <row r="642">
      <c r="H642" s="9"/>
    </row>
    <row r="643">
      <c r="H643" s="9"/>
    </row>
    <row r="644">
      <c r="H644" s="9"/>
    </row>
    <row r="645">
      <c r="H645" s="9"/>
    </row>
    <row r="646">
      <c r="H646" s="9"/>
    </row>
    <row r="647">
      <c r="H647" s="9"/>
    </row>
    <row r="648">
      <c r="H648" s="9"/>
    </row>
    <row r="649">
      <c r="H649" s="9"/>
    </row>
    <row r="650">
      <c r="H650" s="9"/>
    </row>
    <row r="651">
      <c r="H651" s="9"/>
    </row>
    <row r="652">
      <c r="H652" s="9"/>
    </row>
    <row r="653">
      <c r="H653" s="9"/>
    </row>
    <row r="654">
      <c r="H654" s="9"/>
    </row>
    <row r="655">
      <c r="H655" s="9"/>
    </row>
    <row r="656">
      <c r="H656" s="9"/>
    </row>
    <row r="657">
      <c r="H657" s="9"/>
    </row>
    <row r="658">
      <c r="H658" s="9"/>
    </row>
    <row r="659">
      <c r="H659" s="9"/>
    </row>
    <row r="660">
      <c r="H660" s="9"/>
    </row>
    <row r="661">
      <c r="H661" s="9"/>
    </row>
    <row r="662">
      <c r="H662" s="9"/>
    </row>
    <row r="663">
      <c r="H663" s="9"/>
    </row>
    <row r="664">
      <c r="H664" s="9"/>
    </row>
    <row r="665">
      <c r="H665" s="9"/>
    </row>
    <row r="666">
      <c r="H666" s="9"/>
    </row>
    <row r="667">
      <c r="H667" s="9"/>
    </row>
    <row r="668">
      <c r="H668" s="9"/>
    </row>
    <row r="669">
      <c r="H669" s="9"/>
    </row>
    <row r="670">
      <c r="H670" s="9"/>
    </row>
    <row r="671">
      <c r="H671" s="9"/>
    </row>
    <row r="672">
      <c r="H672" s="9"/>
    </row>
    <row r="673">
      <c r="H673" s="9"/>
    </row>
    <row r="674">
      <c r="H674" s="9"/>
    </row>
    <row r="675">
      <c r="H675" s="9"/>
    </row>
    <row r="676">
      <c r="H676" s="9"/>
    </row>
    <row r="677">
      <c r="H677" s="9"/>
    </row>
    <row r="678">
      <c r="H678" s="9"/>
    </row>
    <row r="679">
      <c r="H679" s="9"/>
    </row>
    <row r="680">
      <c r="H680" s="9"/>
    </row>
    <row r="681">
      <c r="H681" s="9"/>
    </row>
    <row r="682">
      <c r="H682" s="9"/>
    </row>
    <row r="683">
      <c r="H683" s="9"/>
    </row>
    <row r="684">
      <c r="H684" s="9"/>
    </row>
    <row r="685">
      <c r="H685" s="9"/>
    </row>
    <row r="686">
      <c r="H686" s="9"/>
    </row>
    <row r="687">
      <c r="H687" s="9"/>
    </row>
    <row r="688">
      <c r="H688" s="9"/>
    </row>
    <row r="689">
      <c r="H689" s="9"/>
    </row>
    <row r="690">
      <c r="H690" s="9"/>
    </row>
    <row r="691">
      <c r="H691" s="9"/>
    </row>
    <row r="692">
      <c r="H692" s="9"/>
    </row>
    <row r="693">
      <c r="H693" s="9"/>
    </row>
    <row r="694">
      <c r="H694" s="9"/>
    </row>
    <row r="695">
      <c r="H695" s="9"/>
    </row>
    <row r="696">
      <c r="H696" s="9"/>
    </row>
    <row r="697">
      <c r="H697" s="9"/>
    </row>
    <row r="698">
      <c r="H698" s="9"/>
    </row>
    <row r="699">
      <c r="H699" s="9"/>
    </row>
    <row r="700">
      <c r="H700" s="9"/>
    </row>
    <row r="701">
      <c r="H701" s="9"/>
    </row>
    <row r="702">
      <c r="H702" s="9"/>
    </row>
    <row r="703">
      <c r="H703" s="9"/>
    </row>
    <row r="704">
      <c r="H704" s="9"/>
    </row>
    <row r="705">
      <c r="H705" s="9"/>
    </row>
    <row r="706">
      <c r="H706" s="9"/>
    </row>
    <row r="707">
      <c r="H707" s="9"/>
    </row>
    <row r="708">
      <c r="H708" s="9"/>
    </row>
    <row r="709">
      <c r="H709" s="9"/>
    </row>
    <row r="710">
      <c r="H710" s="9"/>
    </row>
    <row r="711">
      <c r="H711" s="9"/>
    </row>
    <row r="712">
      <c r="H712" s="9"/>
    </row>
    <row r="713">
      <c r="H713" s="9"/>
    </row>
    <row r="714">
      <c r="H714" s="9"/>
    </row>
    <row r="715">
      <c r="H715" s="9"/>
    </row>
    <row r="716">
      <c r="H716" s="9"/>
    </row>
    <row r="717">
      <c r="H717" s="9"/>
    </row>
    <row r="718">
      <c r="H718" s="9"/>
    </row>
    <row r="719">
      <c r="H719" s="9"/>
    </row>
    <row r="720">
      <c r="H720" s="9"/>
    </row>
    <row r="721">
      <c r="H721" s="9"/>
    </row>
    <row r="722">
      <c r="H722" s="9"/>
    </row>
    <row r="723">
      <c r="H723" s="9"/>
    </row>
    <row r="724">
      <c r="H724" s="9"/>
    </row>
    <row r="725">
      <c r="H725" s="9"/>
    </row>
    <row r="726">
      <c r="H726" s="9"/>
    </row>
    <row r="727">
      <c r="H727" s="9"/>
    </row>
    <row r="728">
      <c r="H728" s="9"/>
    </row>
    <row r="729">
      <c r="H729" s="9"/>
    </row>
    <row r="730">
      <c r="H730" s="9"/>
    </row>
    <row r="731">
      <c r="H731" s="9"/>
    </row>
    <row r="732">
      <c r="H732" s="9"/>
    </row>
    <row r="733">
      <c r="H733" s="9"/>
    </row>
    <row r="734">
      <c r="H734" s="9"/>
    </row>
    <row r="735">
      <c r="H735" s="9"/>
    </row>
    <row r="736">
      <c r="H736" s="9"/>
    </row>
    <row r="737">
      <c r="H737" s="9"/>
    </row>
    <row r="738">
      <c r="H738" s="9"/>
    </row>
    <row r="739">
      <c r="H739" s="9"/>
    </row>
    <row r="740">
      <c r="H740" s="9"/>
    </row>
    <row r="741">
      <c r="H741" s="9"/>
    </row>
    <row r="742">
      <c r="H742" s="9"/>
    </row>
    <row r="743">
      <c r="H743" s="9"/>
    </row>
    <row r="744">
      <c r="H744" s="9"/>
    </row>
    <row r="745">
      <c r="H745" s="9"/>
    </row>
    <row r="746">
      <c r="H746" s="9"/>
    </row>
    <row r="747">
      <c r="H747" s="9"/>
    </row>
    <row r="748">
      <c r="H748" s="9"/>
    </row>
    <row r="749">
      <c r="H749" s="9"/>
    </row>
    <row r="750">
      <c r="H750" s="9"/>
    </row>
    <row r="751">
      <c r="H751" s="9"/>
    </row>
    <row r="752">
      <c r="H752" s="9"/>
    </row>
    <row r="753">
      <c r="H753" s="9"/>
    </row>
    <row r="754">
      <c r="H754" s="9"/>
    </row>
    <row r="755">
      <c r="H755" s="9"/>
    </row>
    <row r="756">
      <c r="H756" s="9"/>
    </row>
    <row r="757">
      <c r="H757" s="9"/>
    </row>
    <row r="758">
      <c r="H758" s="9"/>
    </row>
    <row r="759">
      <c r="H759" s="9"/>
    </row>
    <row r="760">
      <c r="H760" s="9"/>
    </row>
    <row r="761">
      <c r="H761" s="9"/>
    </row>
    <row r="762">
      <c r="H762" s="9"/>
    </row>
    <row r="763">
      <c r="H763" s="9"/>
    </row>
    <row r="764">
      <c r="H764" s="9"/>
    </row>
    <row r="765">
      <c r="H765" s="9"/>
    </row>
    <row r="766">
      <c r="H766" s="9"/>
    </row>
    <row r="767">
      <c r="H767" s="9"/>
    </row>
    <row r="768">
      <c r="H768" s="9"/>
    </row>
    <row r="769">
      <c r="H769" s="9"/>
    </row>
    <row r="770">
      <c r="H770" s="9"/>
    </row>
    <row r="771">
      <c r="H771" s="9"/>
    </row>
    <row r="772">
      <c r="H772" s="9"/>
    </row>
    <row r="773">
      <c r="H773" s="9"/>
    </row>
    <row r="774">
      <c r="H774" s="9"/>
    </row>
    <row r="775">
      <c r="H775" s="9"/>
    </row>
    <row r="776">
      <c r="H776" s="9"/>
    </row>
    <row r="777">
      <c r="H777" s="9"/>
    </row>
    <row r="778">
      <c r="H778" s="9"/>
    </row>
    <row r="779">
      <c r="H779" s="9"/>
    </row>
    <row r="780">
      <c r="H780" s="9"/>
    </row>
    <row r="781">
      <c r="H781" s="9"/>
    </row>
    <row r="782">
      <c r="H782" s="9"/>
    </row>
    <row r="783">
      <c r="H783" s="9"/>
    </row>
    <row r="784">
      <c r="H784" s="9"/>
    </row>
    <row r="785">
      <c r="H785" s="9"/>
    </row>
    <row r="786">
      <c r="H786" s="9"/>
    </row>
    <row r="787">
      <c r="H787" s="9"/>
    </row>
    <row r="788">
      <c r="H788" s="9"/>
    </row>
    <row r="789">
      <c r="H789" s="9"/>
    </row>
    <row r="790">
      <c r="H790" s="9"/>
    </row>
    <row r="791">
      <c r="H791" s="9"/>
    </row>
    <row r="792">
      <c r="H792" s="9"/>
    </row>
    <row r="793">
      <c r="H793" s="9"/>
    </row>
    <row r="794">
      <c r="H794" s="9"/>
    </row>
    <row r="795">
      <c r="H795" s="9"/>
    </row>
    <row r="796">
      <c r="H796" s="9"/>
    </row>
    <row r="797">
      <c r="H797" s="9"/>
    </row>
    <row r="798">
      <c r="H798" s="9"/>
    </row>
    <row r="799">
      <c r="H799" s="9"/>
    </row>
    <row r="800">
      <c r="H800" s="9"/>
    </row>
    <row r="801">
      <c r="H801" s="9"/>
    </row>
    <row r="802">
      <c r="H802" s="9"/>
    </row>
    <row r="803">
      <c r="H803" s="9"/>
    </row>
    <row r="804">
      <c r="H804" s="9"/>
    </row>
    <row r="805">
      <c r="H805" s="9"/>
    </row>
    <row r="806">
      <c r="H806" s="9"/>
    </row>
    <row r="807">
      <c r="H807" s="9"/>
    </row>
    <row r="808">
      <c r="H808" s="9"/>
    </row>
    <row r="809">
      <c r="H809" s="9"/>
    </row>
    <row r="810">
      <c r="H810" s="9"/>
    </row>
    <row r="811">
      <c r="H811" s="9"/>
    </row>
    <row r="812">
      <c r="H812" s="9"/>
    </row>
    <row r="813">
      <c r="H813" s="9"/>
    </row>
    <row r="814">
      <c r="H814" s="9"/>
    </row>
    <row r="815">
      <c r="H815" s="9"/>
    </row>
    <row r="816">
      <c r="H816" s="9"/>
    </row>
    <row r="817">
      <c r="H817" s="9"/>
    </row>
    <row r="818">
      <c r="H818" s="9"/>
    </row>
    <row r="819">
      <c r="H819" s="9"/>
    </row>
    <row r="820">
      <c r="H820" s="9"/>
    </row>
    <row r="821">
      <c r="H821" s="9"/>
    </row>
    <row r="822">
      <c r="H822" s="9"/>
    </row>
    <row r="823">
      <c r="H823" s="9"/>
    </row>
    <row r="824">
      <c r="H824" s="9"/>
    </row>
    <row r="825">
      <c r="H825" s="9"/>
    </row>
    <row r="826">
      <c r="H826" s="9"/>
    </row>
    <row r="827">
      <c r="H827" s="9"/>
    </row>
    <row r="828">
      <c r="H828" s="9"/>
    </row>
    <row r="829">
      <c r="H829" s="9"/>
    </row>
    <row r="830">
      <c r="H830" s="9"/>
    </row>
    <row r="831">
      <c r="H831" s="9"/>
    </row>
    <row r="832">
      <c r="H832" s="9"/>
    </row>
    <row r="833">
      <c r="H833" s="9"/>
    </row>
    <row r="834">
      <c r="H834" s="9"/>
    </row>
    <row r="835">
      <c r="H835" s="9"/>
    </row>
    <row r="836">
      <c r="H836" s="9"/>
    </row>
    <row r="837">
      <c r="H837" s="9"/>
    </row>
    <row r="838">
      <c r="H838" s="9"/>
    </row>
    <row r="839">
      <c r="H839" s="9"/>
    </row>
    <row r="840">
      <c r="H840" s="9"/>
    </row>
    <row r="841">
      <c r="H841" s="9"/>
    </row>
    <row r="842">
      <c r="H842" s="9"/>
    </row>
    <row r="843">
      <c r="H843" s="9"/>
    </row>
    <row r="844">
      <c r="H844" s="9"/>
    </row>
    <row r="845">
      <c r="H845" s="9"/>
    </row>
    <row r="846">
      <c r="H846" s="9"/>
    </row>
    <row r="847">
      <c r="H847" s="9"/>
    </row>
    <row r="848">
      <c r="H848" s="9"/>
    </row>
    <row r="849">
      <c r="H849" s="9"/>
    </row>
    <row r="850">
      <c r="H850" s="9"/>
    </row>
    <row r="851">
      <c r="H851" s="9"/>
    </row>
    <row r="852">
      <c r="H852" s="9"/>
    </row>
    <row r="853">
      <c r="H853" s="9"/>
    </row>
    <row r="854">
      <c r="H854" s="9"/>
    </row>
    <row r="855">
      <c r="H855" s="9"/>
    </row>
    <row r="856">
      <c r="H856" s="9"/>
    </row>
    <row r="857">
      <c r="H857" s="9"/>
    </row>
    <row r="858">
      <c r="H858" s="9"/>
    </row>
    <row r="859">
      <c r="H859" s="9"/>
    </row>
    <row r="860">
      <c r="H860" s="9"/>
    </row>
    <row r="861">
      <c r="H861" s="9"/>
    </row>
    <row r="862">
      <c r="H862" s="9"/>
    </row>
    <row r="863">
      <c r="H863" s="9"/>
    </row>
    <row r="864">
      <c r="H864" s="9"/>
    </row>
    <row r="865">
      <c r="H865" s="9"/>
    </row>
    <row r="866">
      <c r="H866" s="9"/>
    </row>
    <row r="867">
      <c r="H867" s="9"/>
    </row>
    <row r="868">
      <c r="H868" s="9"/>
    </row>
    <row r="869">
      <c r="H869" s="9"/>
    </row>
    <row r="870">
      <c r="H870" s="9"/>
    </row>
    <row r="871">
      <c r="H871" s="9"/>
    </row>
    <row r="872">
      <c r="H872" s="9"/>
    </row>
    <row r="873">
      <c r="H873" s="9"/>
    </row>
    <row r="874">
      <c r="H874" s="9"/>
    </row>
    <row r="875">
      <c r="H875" s="9"/>
    </row>
    <row r="876">
      <c r="H876" s="9"/>
    </row>
    <row r="877">
      <c r="H877" s="9"/>
    </row>
    <row r="878">
      <c r="H878" s="9"/>
    </row>
    <row r="879">
      <c r="H879" s="9"/>
    </row>
    <row r="880">
      <c r="H880" s="9"/>
    </row>
    <row r="881">
      <c r="H881" s="9"/>
    </row>
    <row r="882">
      <c r="H882" s="9"/>
    </row>
    <row r="883">
      <c r="H883" s="9"/>
    </row>
    <row r="884">
      <c r="H884" s="9"/>
    </row>
    <row r="885">
      <c r="H885" s="9"/>
    </row>
    <row r="886">
      <c r="H886" s="9"/>
    </row>
    <row r="887">
      <c r="H887" s="9"/>
    </row>
    <row r="888">
      <c r="H888" s="9"/>
    </row>
    <row r="889">
      <c r="H889" s="9"/>
    </row>
    <row r="890">
      <c r="H890" s="9"/>
    </row>
    <row r="891">
      <c r="H891" s="9"/>
    </row>
    <row r="892">
      <c r="H892" s="9"/>
    </row>
    <row r="893">
      <c r="H893" s="9"/>
    </row>
    <row r="894">
      <c r="H894" s="9"/>
    </row>
    <row r="895">
      <c r="H895" s="9"/>
    </row>
    <row r="896">
      <c r="H896" s="9"/>
    </row>
    <row r="897">
      <c r="H897" s="9"/>
    </row>
    <row r="898">
      <c r="H898" s="9"/>
    </row>
    <row r="899">
      <c r="H899" s="9"/>
    </row>
    <row r="900">
      <c r="H900" s="9"/>
    </row>
    <row r="901">
      <c r="H901" s="9"/>
    </row>
    <row r="902">
      <c r="H902" s="9"/>
    </row>
    <row r="903">
      <c r="H903" s="9"/>
    </row>
    <row r="904">
      <c r="H904" s="9"/>
    </row>
    <row r="905">
      <c r="H905" s="9"/>
    </row>
    <row r="906">
      <c r="H906" s="9"/>
    </row>
    <row r="907">
      <c r="H907" s="9"/>
    </row>
    <row r="908">
      <c r="H908" s="9"/>
    </row>
    <row r="909">
      <c r="H909" s="9"/>
    </row>
    <row r="910">
      <c r="H910" s="9"/>
    </row>
    <row r="911">
      <c r="H911" s="9"/>
    </row>
    <row r="912">
      <c r="H912" s="9"/>
    </row>
    <row r="913">
      <c r="H913" s="9"/>
    </row>
    <row r="914">
      <c r="H914" s="9"/>
    </row>
    <row r="915">
      <c r="H915" s="9"/>
    </row>
    <row r="916">
      <c r="H916" s="9"/>
    </row>
    <row r="917">
      <c r="H917" s="9"/>
    </row>
    <row r="918">
      <c r="H918" s="9"/>
    </row>
    <row r="919">
      <c r="H919" s="9"/>
    </row>
    <row r="920">
      <c r="H920" s="9"/>
    </row>
    <row r="921">
      <c r="H921" s="9"/>
    </row>
    <row r="922">
      <c r="H922" s="9"/>
    </row>
    <row r="923">
      <c r="H923" s="9"/>
    </row>
    <row r="924">
      <c r="H924" s="9"/>
    </row>
    <row r="925">
      <c r="H925" s="9"/>
    </row>
    <row r="926">
      <c r="H926" s="9"/>
    </row>
    <row r="927">
      <c r="H927" s="9"/>
    </row>
    <row r="928">
      <c r="H928" s="9"/>
    </row>
    <row r="929">
      <c r="H929" s="9"/>
    </row>
    <row r="930">
      <c r="H930" s="9"/>
    </row>
    <row r="931">
      <c r="H931" s="9"/>
    </row>
    <row r="932">
      <c r="H932" s="9"/>
    </row>
    <row r="933">
      <c r="H933" s="9"/>
    </row>
    <row r="934">
      <c r="H934" s="9"/>
    </row>
    <row r="935">
      <c r="H935" s="9"/>
    </row>
    <row r="936">
      <c r="H936" s="9"/>
    </row>
    <row r="937">
      <c r="H937" s="9"/>
    </row>
    <row r="938">
      <c r="H938" s="9"/>
    </row>
    <row r="939">
      <c r="H939" s="9"/>
    </row>
    <row r="940">
      <c r="H940" s="9"/>
    </row>
    <row r="941">
      <c r="H941" s="9"/>
    </row>
    <row r="942">
      <c r="H942" s="9"/>
    </row>
    <row r="943">
      <c r="H943" s="9"/>
    </row>
    <row r="944">
      <c r="H944" s="9"/>
    </row>
    <row r="945">
      <c r="H945" s="9"/>
    </row>
    <row r="946">
      <c r="H946" s="9"/>
    </row>
    <row r="947">
      <c r="H947" s="9"/>
    </row>
    <row r="948">
      <c r="H948" s="9"/>
    </row>
    <row r="949">
      <c r="H949" s="9"/>
    </row>
    <row r="950">
      <c r="H950" s="9"/>
    </row>
    <row r="951">
      <c r="H951" s="9"/>
    </row>
    <row r="952">
      <c r="H952" s="9"/>
    </row>
    <row r="953">
      <c r="H953" s="9"/>
    </row>
    <row r="954">
      <c r="H954" s="9"/>
    </row>
    <row r="955">
      <c r="H955" s="9"/>
    </row>
    <row r="956">
      <c r="H956" s="9"/>
    </row>
    <row r="957">
      <c r="H957" s="9"/>
    </row>
    <row r="958">
      <c r="H958" s="9"/>
    </row>
    <row r="959">
      <c r="H959" s="9"/>
    </row>
    <row r="960">
      <c r="H960" s="9"/>
    </row>
    <row r="961">
      <c r="H961" s="9"/>
    </row>
    <row r="962">
      <c r="H962" s="9"/>
    </row>
    <row r="963">
      <c r="H963" s="9"/>
    </row>
    <row r="964">
      <c r="H964" s="9"/>
    </row>
    <row r="965">
      <c r="H965" s="9"/>
    </row>
    <row r="966">
      <c r="H966" s="9"/>
    </row>
    <row r="967">
      <c r="H967" s="9"/>
    </row>
    <row r="968">
      <c r="H968" s="9"/>
    </row>
    <row r="969">
      <c r="H969" s="9"/>
    </row>
    <row r="970">
      <c r="H970" s="9"/>
    </row>
    <row r="971">
      <c r="H971" s="9"/>
    </row>
    <row r="972">
      <c r="H972" s="9"/>
    </row>
    <row r="973">
      <c r="H973" s="9"/>
    </row>
    <row r="974">
      <c r="H974" s="9"/>
    </row>
    <row r="975">
      <c r="H975" s="9"/>
    </row>
    <row r="976">
      <c r="H976" s="9"/>
    </row>
    <row r="977">
      <c r="H977" s="9"/>
    </row>
    <row r="978">
      <c r="H978" s="9"/>
    </row>
    <row r="979">
      <c r="H979" s="9"/>
    </row>
    <row r="980">
      <c r="H980" s="9"/>
    </row>
    <row r="981">
      <c r="H981" s="9"/>
    </row>
    <row r="982">
      <c r="H982" s="9"/>
    </row>
    <row r="983">
      <c r="H983" s="9"/>
    </row>
    <row r="984">
      <c r="H984" s="9"/>
    </row>
    <row r="985">
      <c r="H985" s="9"/>
    </row>
    <row r="986">
      <c r="H986" s="9"/>
    </row>
    <row r="987">
      <c r="H987" s="9"/>
    </row>
    <row r="988">
      <c r="H988" s="9"/>
    </row>
    <row r="989">
      <c r="H989" s="9"/>
    </row>
    <row r="990">
      <c r="H990" s="9"/>
    </row>
    <row r="991">
      <c r="H991" s="9"/>
    </row>
    <row r="992">
      <c r="H992" s="9"/>
    </row>
    <row r="993">
      <c r="H993" s="9"/>
    </row>
    <row r="994">
      <c r="H994" s="9"/>
    </row>
    <row r="995">
      <c r="H995" s="9"/>
    </row>
    <row r="996">
      <c r="H996" s="9"/>
    </row>
    <row r="997">
      <c r="H997" s="9"/>
    </row>
    <row r="998">
      <c r="H998" s="9"/>
    </row>
    <row r="999">
      <c r="H999" s="9"/>
    </row>
    <row r="1000">
      <c r="H1000" s="9"/>
    </row>
  </sheetData>
  <mergeCells count="31">
    <mergeCell ref="E4:F4"/>
    <mergeCell ref="G4:J4"/>
    <mergeCell ref="A1:J1"/>
    <mergeCell ref="A3:B3"/>
    <mergeCell ref="C3:D3"/>
    <mergeCell ref="E3:F3"/>
    <mergeCell ref="G3:J3"/>
    <mergeCell ref="A4:B4"/>
    <mergeCell ref="C4:D4"/>
    <mergeCell ref="A5:B5"/>
    <mergeCell ref="C5:D5"/>
    <mergeCell ref="E5:F5"/>
    <mergeCell ref="G5:J5"/>
    <mergeCell ref="A6:B6"/>
    <mergeCell ref="C6:D6"/>
    <mergeCell ref="G6:J6"/>
    <mergeCell ref="E10:F10"/>
    <mergeCell ref="G10:H10"/>
    <mergeCell ref="I10:J11"/>
    <mergeCell ref="A11:B11"/>
    <mergeCell ref="C11:D11"/>
    <mergeCell ref="E11:F11"/>
    <mergeCell ref="G11:H11"/>
    <mergeCell ref="A40:D40"/>
    <mergeCell ref="E6:F6"/>
    <mergeCell ref="E7:F7"/>
    <mergeCell ref="G7:J7"/>
    <mergeCell ref="A8:J8"/>
    <mergeCell ref="L9:M9"/>
    <mergeCell ref="A10:B10"/>
    <mergeCell ref="C10:D10"/>
  </mergeCells>
  <conditionalFormatting sqref="J16:J39">
    <cfRule type="expression" dxfId="0" priority="1">
      <formula>J16="Thiếu minh chứng"</formula>
    </cfRule>
  </conditionalFormatting>
  <dataValidations>
    <dataValidation type="list" allowBlank="1" sqref="F16:F39">
      <formula1>"0,1,2,3,4"</formula1>
    </dataValidation>
  </dataValidations>
  <hyperlinks>
    <hyperlink r:id="rId1" ref="G3"/>
    <hyperlink r:id="rId2" ref="G4"/>
    <hyperlink r:id="rId3" ref="G5"/>
    <hyperlink r:id="rId4" ref="G6"/>
    <hyperlink r:id="rId5" ref="H16"/>
    <hyperlink r:id="rId6" ref="H17"/>
    <hyperlink r:id="rId7" ref="H18"/>
    <hyperlink r:id="rId8" ref="H19"/>
    <hyperlink r:id="rId9" location="L41" ref="H20"/>
    <hyperlink r:id="rId10" location="L18" ref="H21"/>
    <hyperlink r:id="rId11" location="L42" ref="H22"/>
    <hyperlink r:id="rId12" location="L31" ref="H24"/>
    <hyperlink r:id="rId13" location="L5" ref="H26"/>
    <hyperlink r:id="rId14" location="L7" ref="H27"/>
    <hyperlink r:id="rId15" location="L63" ref="H28"/>
    <hyperlink r:id="rId16" location="L62" ref="H30"/>
    <hyperlink r:id="rId17" location="L155" ref="H31"/>
    <hyperlink r:id="rId18" ref="H32"/>
    <hyperlink r:id="rId19" location="L347" ref="H33"/>
    <hyperlink r:id="rId20" location="L29" ref="H34"/>
    <hyperlink r:id="rId21" location="L46" ref="H35"/>
    <hyperlink r:id="rId22" location="L37" ref="H36"/>
    <hyperlink r:id="rId23" location="L79" ref="H37"/>
    <hyperlink r:id="rId24" ref="H38"/>
    <hyperlink r:id="rId25" location="L80" ref="H39"/>
  </hyperlinks>
  <printOptions/>
  <pageMargins bottom="0.75" footer="0.0" header="0.0" left="0.7" right="0.7" top="0.75"/>
  <pageSetup orientation="landscape"/>
  <drawing r:id="rId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0"/>
    <col customWidth="1" min="2" max="2" width="14.0"/>
    <col customWidth="1" min="3" max="3" width="24.0"/>
    <col customWidth="1" min="4" max="4" width="22.0"/>
    <col customWidth="1" min="5" max="5" width="14.0"/>
    <col customWidth="1" min="6" max="6" width="42.0"/>
    <col customWidth="1" min="7" max="7" width="32.0"/>
    <col customWidth="1" min="8" max="8" width="26.0"/>
    <col customWidth="1" min="9" max="26" width="8.63"/>
  </cols>
  <sheetData>
    <row r="1" ht="14.25" customHeight="1">
      <c r="A1" s="1" t="s">
        <v>2</v>
      </c>
      <c r="B1" s="3"/>
      <c r="C1" s="3"/>
      <c r="D1" s="3"/>
      <c r="E1" s="3"/>
      <c r="F1" s="3"/>
      <c r="G1" s="3"/>
      <c r="H1" s="2"/>
    </row>
    <row r="2" ht="14.25" customHeight="1"/>
    <row r="3" ht="14.25" customHeight="1">
      <c r="A3" s="7" t="s">
        <v>4</v>
      </c>
      <c r="B3" s="3"/>
      <c r="C3" s="3"/>
      <c r="D3" s="3"/>
      <c r="E3" s="3"/>
      <c r="F3" s="3"/>
      <c r="G3" s="3"/>
      <c r="H3" s="2"/>
    </row>
    <row r="4" ht="14.25" customHeight="1"/>
    <row r="5" ht="14.25" customHeight="1">
      <c r="A5" s="10" t="s">
        <v>18</v>
      </c>
      <c r="B5" s="10" t="s">
        <v>22</v>
      </c>
      <c r="C5" s="10" t="s">
        <v>25</v>
      </c>
      <c r="D5" s="10" t="s">
        <v>28</v>
      </c>
      <c r="E5" s="10" t="s">
        <v>31</v>
      </c>
      <c r="F5" s="10" t="s">
        <v>33</v>
      </c>
      <c r="G5" s="10" t="s">
        <v>21</v>
      </c>
      <c r="H5" s="10" t="s">
        <v>27</v>
      </c>
    </row>
    <row r="6">
      <c r="A6" s="13">
        <v>1.0</v>
      </c>
      <c r="B6" s="14">
        <v>2.3127221E7</v>
      </c>
      <c r="C6" s="14" t="s">
        <v>44</v>
      </c>
      <c r="D6" s="14" t="s">
        <v>46</v>
      </c>
      <c r="E6" s="16">
        <v>0.25</v>
      </c>
      <c r="F6" s="14" t="s">
        <v>50</v>
      </c>
      <c r="G6" s="14" t="s">
        <v>52</v>
      </c>
      <c r="H6" s="14" t="s">
        <v>54</v>
      </c>
    </row>
    <row r="7">
      <c r="A7" s="13">
        <v>2.0</v>
      </c>
      <c r="B7" s="14">
        <v>2.3127228E7</v>
      </c>
      <c r="C7" s="14" t="s">
        <v>58</v>
      </c>
      <c r="D7" s="14" t="s">
        <v>59</v>
      </c>
      <c r="E7" s="16">
        <v>0.25</v>
      </c>
      <c r="F7" s="14" t="s">
        <v>62</v>
      </c>
      <c r="G7" s="14" t="s">
        <v>64</v>
      </c>
      <c r="H7" s="14" t="s">
        <v>67</v>
      </c>
    </row>
    <row r="8">
      <c r="A8" s="13">
        <v>3.0</v>
      </c>
      <c r="B8" s="14">
        <v>2.3127281E7</v>
      </c>
      <c r="C8" s="14" t="s">
        <v>71</v>
      </c>
      <c r="D8" s="14" t="s">
        <v>72</v>
      </c>
      <c r="E8" s="16">
        <v>0.25</v>
      </c>
      <c r="F8" s="14" t="s">
        <v>75</v>
      </c>
      <c r="G8" s="14" t="s">
        <v>78</v>
      </c>
      <c r="H8" s="14" t="s">
        <v>79</v>
      </c>
    </row>
    <row r="9">
      <c r="A9" s="13">
        <v>4.0</v>
      </c>
      <c r="B9" s="14">
        <v>2.3127494E7</v>
      </c>
      <c r="C9" s="14" t="s">
        <v>83</v>
      </c>
      <c r="D9" s="14" t="s">
        <v>84</v>
      </c>
      <c r="E9" s="16">
        <v>0.25</v>
      </c>
      <c r="F9" s="14" t="s">
        <v>86</v>
      </c>
      <c r="G9" s="14" t="s">
        <v>87</v>
      </c>
      <c r="H9" s="14" t="s">
        <v>89</v>
      </c>
    </row>
    <row r="10" ht="49.5" customHeight="1">
      <c r="A10" s="13">
        <v>5.0</v>
      </c>
      <c r="B10" s="22"/>
      <c r="C10" s="22"/>
      <c r="D10" s="22"/>
      <c r="E10" s="23"/>
      <c r="F10" s="22"/>
      <c r="G10" s="22"/>
      <c r="H10" s="22"/>
    </row>
    <row r="11" ht="49.5" customHeight="1">
      <c r="A11" s="13">
        <v>6.0</v>
      </c>
      <c r="B11" s="22"/>
      <c r="C11" s="22"/>
      <c r="D11" s="22"/>
      <c r="E11" s="23"/>
      <c r="F11" s="22"/>
      <c r="G11" s="22"/>
      <c r="H11" s="22"/>
    </row>
    <row r="12" ht="49.5" customHeight="1">
      <c r="A12" s="13">
        <v>7.0</v>
      </c>
      <c r="B12" s="22"/>
      <c r="C12" s="22"/>
      <c r="D12" s="22"/>
      <c r="E12" s="23"/>
      <c r="F12" s="22"/>
      <c r="G12" s="22"/>
      <c r="H12" s="22"/>
    </row>
    <row r="13" ht="49.5" customHeight="1">
      <c r="A13" s="13">
        <v>8.0</v>
      </c>
      <c r="B13" s="22"/>
      <c r="C13" s="22"/>
      <c r="D13" s="22"/>
      <c r="E13" s="23"/>
      <c r="F13" s="22"/>
      <c r="G13" s="22"/>
      <c r="H13" s="22"/>
    </row>
    <row r="14" ht="49.5" customHeight="1">
      <c r="A14" s="13">
        <v>9.0</v>
      </c>
      <c r="B14" s="22"/>
      <c r="C14" s="22"/>
      <c r="D14" s="22"/>
      <c r="E14" s="23"/>
      <c r="F14" s="22"/>
      <c r="G14" s="22"/>
      <c r="H14" s="22"/>
    </row>
    <row r="15" ht="49.5" customHeight="1">
      <c r="A15" s="13">
        <v>10.0</v>
      </c>
      <c r="B15" s="22"/>
      <c r="C15" s="22"/>
      <c r="D15" s="22"/>
      <c r="E15" s="23"/>
      <c r="F15" s="22"/>
      <c r="G15" s="22"/>
      <c r="H15" s="22"/>
    </row>
    <row r="16" ht="14.25" customHeight="1">
      <c r="A16" s="26" t="s">
        <v>99</v>
      </c>
      <c r="B16" s="27"/>
      <c r="C16" s="27"/>
      <c r="D16" s="28"/>
      <c r="E16" s="29">
        <f>SUM(E6:E15)</f>
        <v>1</v>
      </c>
      <c r="F16" s="26" t="str">
        <f>IF(ABS(E16-1)&lt;0.0001,"OK – Tổng 100%","CẢNH BÁO – Tổng đóng góp phải bằng 100%")</f>
        <v>OK – Tổng 100%</v>
      </c>
      <c r="G16" s="27"/>
      <c r="H16" s="28"/>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A1:H1"/>
    <mergeCell ref="A3:H3"/>
    <mergeCell ref="A16:D16"/>
    <mergeCell ref="F16:H16"/>
  </mergeCells>
  <conditionalFormatting sqref="F16:H16">
    <cfRule type="expression" dxfId="0" priority="1">
      <formula>E16&lt;&gt;1</formula>
    </cfRule>
  </conditionalFormatting>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0"/>
    <col customWidth="1" min="2" max="2" width="34.0"/>
    <col customWidth="1" min="3" max="3" width="60.0"/>
    <col customWidth="1" min="4" max="4" width="14.0"/>
    <col customWidth="1" min="5" max="5" width="30.0"/>
    <col customWidth="1" min="6" max="6" width="22.0"/>
    <col customWidth="1" min="7" max="7" width="30.0"/>
    <col customWidth="1" min="8" max="26" width="8.63"/>
  </cols>
  <sheetData>
    <row r="1" ht="14.25" customHeight="1">
      <c r="A1" s="1" t="s">
        <v>1</v>
      </c>
      <c r="B1" s="3"/>
      <c r="C1" s="3"/>
      <c r="D1" s="3"/>
      <c r="E1" s="3"/>
      <c r="F1" s="3"/>
      <c r="G1" s="2"/>
    </row>
    <row r="2" ht="14.25" customHeight="1"/>
    <row r="3" ht="14.25" customHeight="1">
      <c r="A3" s="7" t="s">
        <v>6</v>
      </c>
      <c r="B3" s="3"/>
      <c r="C3" s="3"/>
      <c r="D3" s="3"/>
      <c r="E3" s="3"/>
      <c r="F3" s="3"/>
      <c r="G3" s="2"/>
    </row>
    <row r="4" ht="14.25" customHeight="1"/>
    <row r="5" ht="14.25" customHeight="1">
      <c r="A5" s="10" t="s">
        <v>8</v>
      </c>
      <c r="B5" s="10" t="s">
        <v>12</v>
      </c>
      <c r="C5" s="10" t="s">
        <v>14</v>
      </c>
      <c r="D5" s="10" t="s">
        <v>16</v>
      </c>
      <c r="E5" s="10" t="s">
        <v>21</v>
      </c>
      <c r="F5" s="10" t="s">
        <v>24</v>
      </c>
      <c r="G5" s="10" t="s">
        <v>27</v>
      </c>
    </row>
    <row r="6" ht="51.75" customHeight="1">
      <c r="A6" s="13">
        <v>1.0</v>
      </c>
      <c r="B6" s="13" t="s">
        <v>35</v>
      </c>
      <c r="C6" s="13" t="s">
        <v>37</v>
      </c>
      <c r="D6" s="15" t="s">
        <v>42</v>
      </c>
      <c r="E6" s="21" t="s">
        <v>47</v>
      </c>
      <c r="F6" s="14" t="s">
        <v>73</v>
      </c>
      <c r="G6" s="14" t="s">
        <v>76</v>
      </c>
    </row>
    <row r="7" ht="51.75" customHeight="1">
      <c r="A7" s="13">
        <v>2.0</v>
      </c>
      <c r="B7" s="13" t="s">
        <v>80</v>
      </c>
      <c r="C7" s="13" t="s">
        <v>81</v>
      </c>
      <c r="D7" s="15" t="s">
        <v>42</v>
      </c>
      <c r="E7" s="21" t="s">
        <v>80</v>
      </c>
      <c r="F7" s="14" t="s">
        <v>90</v>
      </c>
      <c r="G7" s="14" t="s">
        <v>91</v>
      </c>
    </row>
    <row r="8" ht="51.75" customHeight="1">
      <c r="A8" s="13">
        <v>3.0</v>
      </c>
      <c r="B8" s="13" t="s">
        <v>92</v>
      </c>
      <c r="C8" s="13" t="s">
        <v>93</v>
      </c>
      <c r="D8" s="15" t="s">
        <v>42</v>
      </c>
      <c r="E8" s="21" t="s">
        <v>92</v>
      </c>
      <c r="F8" s="14" t="s">
        <v>95</v>
      </c>
      <c r="G8" s="14" t="s">
        <v>96</v>
      </c>
    </row>
    <row r="9" ht="51.75" customHeight="1">
      <c r="A9" s="13">
        <v>4.0</v>
      </c>
      <c r="B9" s="13" t="s">
        <v>97</v>
      </c>
      <c r="C9" s="13" t="s">
        <v>98</v>
      </c>
      <c r="D9" s="15" t="s">
        <v>42</v>
      </c>
      <c r="E9" s="21" t="s">
        <v>97</v>
      </c>
      <c r="F9" s="14" t="s">
        <v>100</v>
      </c>
      <c r="G9" s="14" t="s">
        <v>101</v>
      </c>
    </row>
    <row r="10" ht="51.75" customHeight="1">
      <c r="A10" s="13">
        <v>5.0</v>
      </c>
      <c r="B10" s="13" t="s">
        <v>103</v>
      </c>
      <c r="C10" s="13" t="s">
        <v>104</v>
      </c>
      <c r="D10" s="15" t="s">
        <v>42</v>
      </c>
      <c r="E10" s="21" t="s">
        <v>105</v>
      </c>
      <c r="F10" s="14" t="s">
        <v>107</v>
      </c>
      <c r="G10" s="14" t="s">
        <v>108</v>
      </c>
    </row>
    <row r="11" ht="51.75" customHeight="1">
      <c r="A11" s="13">
        <v>6.0</v>
      </c>
      <c r="B11" s="13" t="s">
        <v>110</v>
      </c>
      <c r="C11" s="13" t="s">
        <v>111</v>
      </c>
      <c r="D11" s="15" t="s">
        <v>42</v>
      </c>
      <c r="E11" s="21" t="s">
        <v>110</v>
      </c>
      <c r="F11" s="14" t="s">
        <v>112</v>
      </c>
      <c r="G11" s="14" t="s">
        <v>113</v>
      </c>
    </row>
    <row r="12" ht="51.75" customHeight="1">
      <c r="A12" s="13">
        <v>7.0</v>
      </c>
      <c r="B12" s="13" t="s">
        <v>115</v>
      </c>
      <c r="C12" s="13" t="s">
        <v>116</v>
      </c>
      <c r="D12" s="15" t="s">
        <v>42</v>
      </c>
      <c r="E12" s="21" t="s">
        <v>115</v>
      </c>
      <c r="F12" s="14" t="s">
        <v>107</v>
      </c>
      <c r="G12" s="14" t="s">
        <v>118</v>
      </c>
    </row>
    <row r="13" ht="51.75" customHeight="1">
      <c r="A13" s="13">
        <v>8.0</v>
      </c>
      <c r="B13" s="13" t="s">
        <v>119</v>
      </c>
      <c r="C13" s="13" t="s">
        <v>120</v>
      </c>
      <c r="D13" s="15" t="s">
        <v>42</v>
      </c>
      <c r="E13" s="21" t="s">
        <v>119</v>
      </c>
      <c r="F13" s="14" t="s">
        <v>123</v>
      </c>
      <c r="G13" s="14" t="s">
        <v>124</v>
      </c>
    </row>
    <row r="14" ht="51.75" customHeight="1">
      <c r="A14" s="13">
        <v>9.0</v>
      </c>
      <c r="B14" s="13" t="s">
        <v>125</v>
      </c>
      <c r="C14" s="13" t="s">
        <v>126</v>
      </c>
      <c r="D14" s="15" t="s">
        <v>127</v>
      </c>
      <c r="E14" s="14" t="s">
        <v>128</v>
      </c>
      <c r="F14" s="14" t="s">
        <v>129</v>
      </c>
      <c r="G14" s="14" t="s">
        <v>131</v>
      </c>
    </row>
    <row r="15" ht="51.75" customHeight="1">
      <c r="A15" s="13">
        <v>10.0</v>
      </c>
      <c r="B15" s="13" t="s">
        <v>132</v>
      </c>
      <c r="C15" s="13" t="s">
        <v>133</v>
      </c>
      <c r="D15" s="15" t="s">
        <v>42</v>
      </c>
      <c r="E15" s="21" t="s">
        <v>134</v>
      </c>
      <c r="F15" s="14" t="s">
        <v>137</v>
      </c>
      <c r="G15" s="14" t="s">
        <v>139</v>
      </c>
    </row>
    <row r="16" ht="14.25" customHeight="1"/>
    <row r="17" ht="14.25" customHeight="1">
      <c r="A17" s="34" t="s">
        <v>140</v>
      </c>
      <c r="B17" s="3"/>
      <c r="C17" s="3"/>
      <c r="D17" s="3"/>
      <c r="E17" s="3"/>
      <c r="F17" s="3"/>
      <c r="G17" s="2"/>
    </row>
    <row r="18" ht="14.25" customHeight="1">
      <c r="A18" s="35" t="s">
        <v>143</v>
      </c>
      <c r="B18" s="35" t="s">
        <v>144</v>
      </c>
      <c r="C18" s="35" t="s">
        <v>145</v>
      </c>
      <c r="D18" s="35" t="s">
        <v>16</v>
      </c>
      <c r="E18" s="35" t="s">
        <v>21</v>
      </c>
      <c r="F18" s="35" t="s">
        <v>24</v>
      </c>
      <c r="G18" s="35" t="s">
        <v>27</v>
      </c>
    </row>
    <row r="19">
      <c r="A19" s="13">
        <v>1.0</v>
      </c>
      <c r="B19" s="13" t="s">
        <v>148</v>
      </c>
      <c r="C19" s="13" t="s">
        <v>149</v>
      </c>
      <c r="D19" s="15" t="s">
        <v>42</v>
      </c>
      <c r="E19" s="14" t="s">
        <v>151</v>
      </c>
      <c r="F19" s="14" t="s">
        <v>152</v>
      </c>
      <c r="G19" s="14" t="s">
        <v>155</v>
      </c>
    </row>
    <row r="20">
      <c r="A20" s="13">
        <v>2.0</v>
      </c>
      <c r="B20" s="13" t="s">
        <v>156</v>
      </c>
      <c r="C20" s="13" t="s">
        <v>158</v>
      </c>
      <c r="D20" s="15" t="s">
        <v>42</v>
      </c>
      <c r="E20" s="14" t="s">
        <v>159</v>
      </c>
      <c r="F20" s="14" t="s">
        <v>160</v>
      </c>
      <c r="G20" s="14" t="s">
        <v>161</v>
      </c>
    </row>
    <row r="21">
      <c r="A21" s="13">
        <v>3.0</v>
      </c>
      <c r="B21" s="13" t="s">
        <v>162</v>
      </c>
      <c r="C21" s="13" t="s">
        <v>163</v>
      </c>
      <c r="D21" s="15" t="s">
        <v>42</v>
      </c>
      <c r="E21" s="14" t="s">
        <v>165</v>
      </c>
      <c r="F21" s="14" t="s">
        <v>71</v>
      </c>
      <c r="G21" s="14" t="s">
        <v>166</v>
      </c>
    </row>
    <row r="22">
      <c r="A22" s="13">
        <v>4.0</v>
      </c>
      <c r="B22" s="13" t="s">
        <v>168</v>
      </c>
      <c r="C22" s="13" t="s">
        <v>169</v>
      </c>
      <c r="D22" s="15" t="s">
        <v>42</v>
      </c>
      <c r="E22" s="14" t="s">
        <v>172</v>
      </c>
      <c r="F22" s="14" t="s">
        <v>174</v>
      </c>
      <c r="G22" s="14" t="s">
        <v>175</v>
      </c>
    </row>
    <row r="23">
      <c r="A23" s="13">
        <v>5.0</v>
      </c>
      <c r="B23" s="13" t="s">
        <v>177</v>
      </c>
      <c r="C23" s="13" t="s">
        <v>178</v>
      </c>
      <c r="D23" s="15" t="s">
        <v>42</v>
      </c>
      <c r="E23" s="14" t="s">
        <v>179</v>
      </c>
      <c r="F23" s="14" t="s">
        <v>180</v>
      </c>
      <c r="G23" s="14" t="s">
        <v>181</v>
      </c>
    </row>
    <row r="24">
      <c r="A24" s="13">
        <v>6.0</v>
      </c>
      <c r="B24" s="13" t="s">
        <v>182</v>
      </c>
      <c r="C24" s="13" t="s">
        <v>183</v>
      </c>
      <c r="D24" s="15" t="s">
        <v>42</v>
      </c>
      <c r="E24" s="14" t="s">
        <v>186</v>
      </c>
      <c r="F24" s="14" t="s">
        <v>174</v>
      </c>
      <c r="G24" s="14" t="s">
        <v>189</v>
      </c>
    </row>
    <row r="25">
      <c r="A25" s="13">
        <v>7.0</v>
      </c>
      <c r="B25" s="13" t="s">
        <v>191</v>
      </c>
      <c r="C25" s="13" t="s">
        <v>193</v>
      </c>
      <c r="D25" s="15" t="s">
        <v>42</v>
      </c>
      <c r="E25" s="14" t="s">
        <v>197</v>
      </c>
      <c r="F25" s="14" t="s">
        <v>83</v>
      </c>
      <c r="G25" s="14" t="s">
        <v>201</v>
      </c>
    </row>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1:G1"/>
    <mergeCell ref="A3:G3"/>
    <mergeCell ref="A17:G17"/>
  </mergeCells>
  <conditionalFormatting sqref="D6:D15">
    <cfRule type="expression" dxfId="1" priority="1">
      <formula>D6="Đạt"</formula>
    </cfRule>
  </conditionalFormatting>
  <conditionalFormatting sqref="D6:D15">
    <cfRule type="expression" dxfId="2" priority="2">
      <formula>D6="Một phần"</formula>
    </cfRule>
  </conditionalFormatting>
  <conditionalFormatting sqref="D6:D15">
    <cfRule type="expression" dxfId="0" priority="3">
      <formula>D6="Chưa"</formula>
    </cfRule>
  </conditionalFormatting>
  <dataValidations>
    <dataValidation type="list" allowBlank="1" sqref="D6:D15 D19:D25">
      <formula1>"Chưa,Một phần,Đạt"</formula1>
    </dataValidation>
  </dataValidations>
  <hyperlinks>
    <hyperlink r:id="rId1" ref="E6"/>
    <hyperlink r:id="rId2" ref="E7"/>
    <hyperlink r:id="rId3" ref="E8"/>
    <hyperlink r:id="rId4" ref="E9"/>
    <hyperlink r:id="rId5" ref="E10"/>
    <hyperlink r:id="rId6" ref="E11"/>
    <hyperlink r:id="rId7" ref="E12"/>
    <hyperlink r:id="rId8" ref="E13"/>
    <hyperlink r:id="rId9" ref="E15"/>
  </hyperlinks>
  <printOptions/>
  <pageMargins bottom="0.75" footer="0.0" header="0.0" left="0.7" right="0.7" top="0.75"/>
  <pageSetup orientation="landscape"/>
  <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8.0"/>
    <col customWidth="1" min="2" max="2" width="105.0"/>
    <col customWidth="1" min="3" max="26" width="8.63"/>
  </cols>
  <sheetData>
    <row r="1" ht="14.25" customHeight="1">
      <c r="A1" s="1" t="s">
        <v>0</v>
      </c>
      <c r="B1" s="2"/>
      <c r="C1" s="4"/>
      <c r="D1" s="4"/>
      <c r="E1" s="4"/>
      <c r="F1" s="4"/>
    </row>
    <row r="2" ht="14.25" customHeight="1"/>
    <row r="3" ht="54.75" customHeight="1">
      <c r="A3" s="6" t="s">
        <v>5</v>
      </c>
      <c r="B3" s="8" t="s">
        <v>7</v>
      </c>
    </row>
    <row r="4" ht="54.75" customHeight="1">
      <c r="A4" s="6" t="s">
        <v>9</v>
      </c>
      <c r="B4" s="8" t="s">
        <v>10</v>
      </c>
    </row>
    <row r="5" ht="54.75" customHeight="1">
      <c r="A5" s="6" t="s">
        <v>13</v>
      </c>
      <c r="B5" s="8" t="s">
        <v>15</v>
      </c>
    </row>
    <row r="6" ht="54.75" customHeight="1">
      <c r="A6" s="6" t="s">
        <v>17</v>
      </c>
      <c r="B6" s="8" t="s">
        <v>20</v>
      </c>
    </row>
    <row r="7" ht="54.75" customHeight="1">
      <c r="A7" s="6" t="s">
        <v>23</v>
      </c>
      <c r="B7" s="8" t="s">
        <v>26</v>
      </c>
    </row>
    <row r="8" ht="54.75" customHeight="1">
      <c r="A8" s="6" t="s">
        <v>29</v>
      </c>
      <c r="B8" s="8" t="s">
        <v>30</v>
      </c>
    </row>
    <row r="9" ht="54.75" customHeight="1">
      <c r="A9" s="6" t="s">
        <v>34</v>
      </c>
      <c r="B9" s="8" t="s">
        <v>36</v>
      </c>
    </row>
    <row r="10" ht="54.75" customHeight="1">
      <c r="A10" s="6" t="s">
        <v>39</v>
      </c>
      <c r="B10" s="8" t="s">
        <v>40</v>
      </c>
    </row>
    <row r="11" ht="54.75" customHeight="1">
      <c r="A11" s="6" t="s">
        <v>41</v>
      </c>
      <c r="B11" s="8" t="s">
        <v>43</v>
      </c>
    </row>
    <row r="12" ht="54.75" customHeight="1">
      <c r="A12" s="6" t="s">
        <v>45</v>
      </c>
      <c r="B12" s="8" t="s">
        <v>48</v>
      </c>
    </row>
    <row r="13" ht="54.75" customHeight="1">
      <c r="A13" s="6" t="s">
        <v>49</v>
      </c>
      <c r="B13" s="8" t="s">
        <v>51</v>
      </c>
    </row>
    <row r="14" ht="54.75" customHeight="1">
      <c r="A14" s="6" t="s">
        <v>53</v>
      </c>
      <c r="B14" s="8" t="s">
        <v>55</v>
      </c>
    </row>
    <row r="15" ht="54.75" customHeight="1">
      <c r="A15" s="6" t="s">
        <v>56</v>
      </c>
      <c r="B15" s="8" t="s">
        <v>57</v>
      </c>
    </row>
    <row r="16" ht="14.25" customHeight="1"/>
    <row r="17" ht="14.25" customHeight="1">
      <c r="A17" s="18" t="s">
        <v>60</v>
      </c>
      <c r="B17" s="19" t="s">
        <v>61</v>
      </c>
    </row>
    <row r="18" ht="14.25" customHeight="1">
      <c r="A18" s="18" t="s">
        <v>65</v>
      </c>
      <c r="B18" s="19" t="s">
        <v>66</v>
      </c>
    </row>
    <row r="19" ht="14.25" customHeight="1">
      <c r="A19" s="18" t="s">
        <v>68</v>
      </c>
      <c r="B19" s="19" t="s">
        <v>69</v>
      </c>
    </row>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B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0"/>
    <col customWidth="1" min="2" max="2" width="22.0"/>
    <col customWidth="1" min="3" max="3" width="28.0"/>
    <col customWidth="1" min="4" max="4" width="30.0"/>
    <col customWidth="1" min="5" max="5" width="35.0"/>
    <col customWidth="1" min="6" max="6" width="24.0"/>
    <col customWidth="1" min="7" max="7" width="38.0"/>
    <col customWidth="1" min="8" max="8" width="34.0"/>
    <col customWidth="1" min="9" max="9" width="28.0"/>
    <col customWidth="1" min="10" max="10" width="34.0"/>
    <col customWidth="1" min="11" max="11" width="30.0"/>
    <col customWidth="1" min="12" max="12" width="32.0"/>
    <col customWidth="1" min="13" max="13" width="14.0"/>
    <col customWidth="1" min="14" max="14" width="16.0"/>
    <col customWidth="1" min="15" max="15" width="28.0"/>
    <col customWidth="1" min="16" max="26" width="8.63"/>
  </cols>
  <sheetData>
    <row r="1" ht="30.0" customHeight="1">
      <c r="A1" s="33" t="s">
        <v>136</v>
      </c>
      <c r="B1" s="3"/>
      <c r="C1" s="3"/>
      <c r="D1" s="3"/>
      <c r="E1" s="3"/>
      <c r="F1" s="3"/>
      <c r="G1" s="3"/>
      <c r="H1" s="3"/>
      <c r="I1" s="3"/>
      <c r="J1" s="3"/>
      <c r="K1" s="3"/>
      <c r="L1" s="3"/>
      <c r="M1" s="3"/>
      <c r="N1" s="3"/>
      <c r="O1" s="2"/>
    </row>
    <row r="2" ht="14.25" customHeight="1"/>
    <row r="3" ht="37.5" customHeight="1">
      <c r="A3" s="36" t="s">
        <v>142</v>
      </c>
      <c r="B3" s="3"/>
      <c r="C3" s="3"/>
      <c r="D3" s="3"/>
      <c r="E3" s="3"/>
      <c r="F3" s="3"/>
      <c r="G3" s="3"/>
      <c r="H3" s="3"/>
      <c r="I3" s="3"/>
      <c r="J3" s="3"/>
      <c r="K3" s="3"/>
      <c r="L3" s="3"/>
      <c r="M3" s="3"/>
      <c r="N3" s="3"/>
      <c r="O3" s="2"/>
    </row>
    <row r="4" ht="42.0" customHeight="1">
      <c r="A4" s="38" t="s">
        <v>146</v>
      </c>
      <c r="B4" s="3"/>
      <c r="C4" s="3"/>
      <c r="D4" s="3"/>
      <c r="E4" s="3"/>
      <c r="F4" s="3"/>
      <c r="G4" s="3"/>
      <c r="H4" s="3"/>
      <c r="I4" s="3"/>
      <c r="J4" s="3"/>
      <c r="K4" s="3"/>
      <c r="L4" s="3"/>
      <c r="M4" s="3"/>
      <c r="N4" s="3"/>
      <c r="O4" s="2"/>
    </row>
    <row r="5" ht="14.25" customHeight="1"/>
    <row r="6" ht="14.25" customHeight="1">
      <c r="A6" s="39" t="s">
        <v>150</v>
      </c>
      <c r="B6" s="40" t="s">
        <v>154</v>
      </c>
    </row>
    <row r="7" ht="14.25" customHeight="1">
      <c r="A7" s="42" t="s">
        <v>157</v>
      </c>
      <c r="B7" s="46">
        <f>COUNTIF(F11:F40,"Hoàn thành &amp; demo được")</f>
        <v>7</v>
      </c>
    </row>
    <row r="8" ht="14.25" customHeight="1">
      <c r="A8" s="47" t="s">
        <v>173</v>
      </c>
      <c r="B8" s="50">
        <f>COUNTIF(M11:M40,"Có")</f>
        <v>8</v>
      </c>
    </row>
    <row r="9" ht="14.25" customHeight="1"/>
    <row r="10" ht="48.0" customHeight="1">
      <c r="A10" s="51" t="s">
        <v>18</v>
      </c>
      <c r="B10" s="51" t="s">
        <v>184</v>
      </c>
      <c r="C10" s="51" t="s">
        <v>185</v>
      </c>
      <c r="D10" s="51" t="s">
        <v>187</v>
      </c>
      <c r="E10" s="51" t="s">
        <v>188</v>
      </c>
      <c r="F10" s="51" t="s">
        <v>16</v>
      </c>
      <c r="G10" s="51" t="s">
        <v>190</v>
      </c>
      <c r="H10" s="51" t="s">
        <v>192</v>
      </c>
      <c r="I10" s="51" t="s">
        <v>194</v>
      </c>
      <c r="J10" s="51" t="s">
        <v>195</v>
      </c>
      <c r="K10" s="51" t="s">
        <v>196</v>
      </c>
      <c r="L10" s="51" t="s">
        <v>198</v>
      </c>
      <c r="M10" s="51" t="s">
        <v>199</v>
      </c>
      <c r="N10" s="51" t="s">
        <v>200</v>
      </c>
      <c r="O10" s="51" t="s">
        <v>202</v>
      </c>
    </row>
    <row r="11" ht="72.0" customHeight="1">
      <c r="A11" s="53">
        <v>1.0</v>
      </c>
      <c r="B11" s="54" t="s">
        <v>203</v>
      </c>
      <c r="C11" s="54" t="s">
        <v>204</v>
      </c>
      <c r="D11" s="54" t="s">
        <v>205</v>
      </c>
      <c r="E11" s="54" t="s">
        <v>206</v>
      </c>
      <c r="F11" s="55" t="s">
        <v>207</v>
      </c>
      <c r="G11" s="56" t="s">
        <v>208</v>
      </c>
      <c r="H11" s="56" t="s">
        <v>209</v>
      </c>
      <c r="I11" s="56" t="s">
        <v>210</v>
      </c>
      <c r="J11" s="59" t="s">
        <v>211</v>
      </c>
      <c r="K11" s="56" t="s">
        <v>212</v>
      </c>
      <c r="L11" s="56" t="s">
        <v>213</v>
      </c>
      <c r="M11" s="56" t="s">
        <v>214</v>
      </c>
      <c r="N11" s="60">
        <v>2.0</v>
      </c>
      <c r="O11" s="61"/>
    </row>
    <row r="12" ht="78.0" customHeight="1">
      <c r="A12" s="62">
        <v>2.0</v>
      </c>
      <c r="B12" s="63" t="s">
        <v>203</v>
      </c>
      <c r="C12" s="63" t="s">
        <v>218</v>
      </c>
      <c r="D12" s="63" t="s">
        <v>219</v>
      </c>
      <c r="E12" s="63" t="s">
        <v>221</v>
      </c>
      <c r="F12" s="56" t="s">
        <v>223</v>
      </c>
      <c r="G12" s="56"/>
      <c r="H12" s="56"/>
      <c r="I12" s="56"/>
      <c r="J12" s="56"/>
      <c r="K12" s="56"/>
      <c r="L12" s="56"/>
      <c r="M12" s="59" t="s">
        <v>226</v>
      </c>
      <c r="N12" s="65">
        <v>0.0</v>
      </c>
      <c r="O12" s="67"/>
    </row>
    <row r="13" ht="78.0" customHeight="1">
      <c r="A13" s="62">
        <v>3.0</v>
      </c>
      <c r="B13" s="63" t="s">
        <v>203</v>
      </c>
      <c r="C13" s="63" t="s">
        <v>230</v>
      </c>
      <c r="D13" s="63" t="s">
        <v>219</v>
      </c>
      <c r="E13" s="63" t="s">
        <v>231</v>
      </c>
      <c r="F13" s="56" t="s">
        <v>223</v>
      </c>
      <c r="G13" s="56"/>
      <c r="H13" s="56"/>
      <c r="I13" s="56"/>
      <c r="J13" s="56"/>
      <c r="K13" s="56"/>
      <c r="L13" s="56"/>
      <c r="M13" s="59" t="s">
        <v>226</v>
      </c>
      <c r="N13" s="65">
        <v>0.0</v>
      </c>
      <c r="O13" s="67"/>
    </row>
    <row r="14" ht="78.0" customHeight="1">
      <c r="A14" s="62">
        <v>4.0</v>
      </c>
      <c r="B14" s="63" t="s">
        <v>203</v>
      </c>
      <c r="C14" s="63" t="s">
        <v>232</v>
      </c>
      <c r="D14" s="63" t="s">
        <v>219</v>
      </c>
      <c r="E14" s="63" t="s">
        <v>233</v>
      </c>
      <c r="F14" s="56" t="s">
        <v>223</v>
      </c>
      <c r="G14" s="56"/>
      <c r="H14" s="56"/>
      <c r="I14" s="56"/>
      <c r="J14" s="56"/>
      <c r="K14" s="56"/>
      <c r="L14" s="56"/>
      <c r="M14" s="59" t="s">
        <v>226</v>
      </c>
      <c r="N14" s="65">
        <v>0.0</v>
      </c>
      <c r="O14" s="67"/>
    </row>
    <row r="15" ht="78.0" customHeight="1">
      <c r="A15" s="62">
        <v>5.0</v>
      </c>
      <c r="B15" s="63" t="s">
        <v>203</v>
      </c>
      <c r="C15" s="63" t="s">
        <v>235</v>
      </c>
      <c r="D15" s="63" t="s">
        <v>236</v>
      </c>
      <c r="E15" s="63" t="s">
        <v>237</v>
      </c>
      <c r="F15" s="56" t="s">
        <v>223</v>
      </c>
      <c r="G15" s="56"/>
      <c r="H15" s="56"/>
      <c r="I15" s="56"/>
      <c r="J15" s="56"/>
      <c r="K15" s="56"/>
      <c r="L15" s="56"/>
      <c r="M15" s="59" t="s">
        <v>226</v>
      </c>
      <c r="N15" s="65">
        <v>0.0</v>
      </c>
      <c r="O15" s="67"/>
    </row>
    <row r="16" ht="78.0" customHeight="1">
      <c r="A16" s="62">
        <v>6.0</v>
      </c>
      <c r="B16" s="63" t="s">
        <v>203</v>
      </c>
      <c r="C16" s="63" t="s">
        <v>239</v>
      </c>
      <c r="D16" s="63" t="s">
        <v>240</v>
      </c>
      <c r="E16" s="63" t="s">
        <v>241</v>
      </c>
      <c r="F16" s="56" t="s">
        <v>223</v>
      </c>
      <c r="G16" s="56"/>
      <c r="H16" s="56"/>
      <c r="I16" s="56"/>
      <c r="J16" s="56"/>
      <c r="K16" s="56"/>
      <c r="L16" s="56"/>
      <c r="M16" s="59" t="s">
        <v>226</v>
      </c>
      <c r="N16" s="65">
        <v>0.0</v>
      </c>
      <c r="O16" s="67"/>
    </row>
    <row r="17" ht="78.0" customHeight="1">
      <c r="A17" s="62">
        <v>7.0</v>
      </c>
      <c r="B17" s="63" t="s">
        <v>203</v>
      </c>
      <c r="C17" s="63" t="s">
        <v>243</v>
      </c>
      <c r="D17" s="63" t="s">
        <v>236</v>
      </c>
      <c r="E17" s="63" t="s">
        <v>244</v>
      </c>
      <c r="F17" s="56" t="s">
        <v>223</v>
      </c>
      <c r="G17" s="56"/>
      <c r="H17" s="56"/>
      <c r="I17" s="56"/>
      <c r="J17" s="56"/>
      <c r="K17" s="56"/>
      <c r="L17" s="56"/>
      <c r="M17" s="59" t="s">
        <v>226</v>
      </c>
      <c r="N17" s="65">
        <v>0.0</v>
      </c>
      <c r="O17" s="67"/>
    </row>
    <row r="18" ht="78.0" customHeight="1">
      <c r="A18" s="62">
        <v>8.0</v>
      </c>
      <c r="B18" s="63" t="s">
        <v>203</v>
      </c>
      <c r="C18" s="63" t="s">
        <v>247</v>
      </c>
      <c r="D18" s="63" t="s">
        <v>236</v>
      </c>
      <c r="E18" s="63" t="s">
        <v>248</v>
      </c>
      <c r="F18" s="56" t="s">
        <v>223</v>
      </c>
      <c r="G18" s="56"/>
      <c r="H18" s="56"/>
      <c r="I18" s="56"/>
      <c r="J18" s="56"/>
      <c r="K18" s="56"/>
      <c r="L18" s="56"/>
      <c r="M18" s="59" t="s">
        <v>226</v>
      </c>
      <c r="N18" s="65">
        <v>0.0</v>
      </c>
      <c r="O18" s="67"/>
    </row>
    <row r="19" ht="78.0" customHeight="1">
      <c r="A19" s="62">
        <v>9.0</v>
      </c>
      <c r="B19" s="63" t="s">
        <v>203</v>
      </c>
      <c r="C19" s="63" t="s">
        <v>252</v>
      </c>
      <c r="D19" s="63" t="s">
        <v>236</v>
      </c>
      <c r="E19" s="63" t="s">
        <v>253</v>
      </c>
      <c r="F19" s="56" t="s">
        <v>254</v>
      </c>
      <c r="G19" s="56" t="s">
        <v>255</v>
      </c>
      <c r="H19" s="56" t="s">
        <v>256</v>
      </c>
      <c r="I19" s="56" t="s">
        <v>257</v>
      </c>
      <c r="J19" s="56" t="s">
        <v>259</v>
      </c>
      <c r="K19" s="56" t="s">
        <v>260</v>
      </c>
      <c r="L19" s="56" t="s">
        <v>261</v>
      </c>
      <c r="M19" s="56" t="s">
        <v>214</v>
      </c>
      <c r="N19" s="60">
        <v>3.0</v>
      </c>
      <c r="O19" s="67"/>
    </row>
    <row r="20" ht="78.0" customHeight="1">
      <c r="A20" s="62">
        <v>10.0</v>
      </c>
      <c r="B20" s="72" t="s">
        <v>262</v>
      </c>
      <c r="C20" s="72" t="s">
        <v>263</v>
      </c>
      <c r="D20" s="72" t="s">
        <v>264</v>
      </c>
      <c r="E20" s="72" t="s">
        <v>265</v>
      </c>
      <c r="F20" s="56" t="s">
        <v>267</v>
      </c>
      <c r="G20" s="56" t="s">
        <v>268</v>
      </c>
      <c r="H20" s="56" t="s">
        <v>269</v>
      </c>
      <c r="I20" s="56" t="s">
        <v>270</v>
      </c>
      <c r="J20" s="56" t="s">
        <v>271</v>
      </c>
      <c r="K20" s="56" t="s">
        <v>273</v>
      </c>
      <c r="L20" s="56" t="s">
        <v>274</v>
      </c>
      <c r="M20" s="59" t="s">
        <v>226</v>
      </c>
      <c r="N20" s="60">
        <v>1.0</v>
      </c>
      <c r="O20" s="67"/>
    </row>
    <row r="21" ht="78.0" customHeight="1">
      <c r="A21" s="62">
        <v>11.0</v>
      </c>
      <c r="B21" s="72" t="s">
        <v>262</v>
      </c>
      <c r="C21" s="72" t="s">
        <v>275</v>
      </c>
      <c r="D21" s="72" t="s">
        <v>264</v>
      </c>
      <c r="E21" s="72" t="s">
        <v>277</v>
      </c>
      <c r="F21" s="59" t="s">
        <v>223</v>
      </c>
      <c r="G21" s="56"/>
      <c r="H21" s="56"/>
      <c r="I21" s="56"/>
      <c r="J21" s="56"/>
      <c r="K21" s="56"/>
      <c r="L21" s="56"/>
      <c r="M21" s="59" t="s">
        <v>226</v>
      </c>
      <c r="N21" s="65">
        <v>0.0</v>
      </c>
      <c r="O21" s="67"/>
    </row>
    <row r="22" ht="78.0" customHeight="1">
      <c r="A22" s="62">
        <v>12.0</v>
      </c>
      <c r="B22" s="72" t="s">
        <v>262</v>
      </c>
      <c r="C22" s="72" t="s">
        <v>279</v>
      </c>
      <c r="D22" s="72" t="s">
        <v>264</v>
      </c>
      <c r="E22" s="72" t="s">
        <v>280</v>
      </c>
      <c r="F22" s="59" t="s">
        <v>223</v>
      </c>
      <c r="G22" s="56"/>
      <c r="H22" s="56"/>
      <c r="I22" s="56"/>
      <c r="J22" s="56"/>
      <c r="K22" s="56"/>
      <c r="L22" s="56"/>
      <c r="M22" s="59" t="s">
        <v>226</v>
      </c>
      <c r="N22" s="65">
        <v>0.0</v>
      </c>
      <c r="O22" s="67"/>
    </row>
    <row r="23" ht="78.0" customHeight="1">
      <c r="A23" s="62">
        <v>13.0</v>
      </c>
      <c r="B23" s="72" t="s">
        <v>262</v>
      </c>
      <c r="C23" s="72" t="s">
        <v>282</v>
      </c>
      <c r="D23" s="72" t="s">
        <v>264</v>
      </c>
      <c r="E23" s="72" t="s">
        <v>283</v>
      </c>
      <c r="F23" s="59" t="s">
        <v>223</v>
      </c>
      <c r="G23" s="56"/>
      <c r="H23" s="56"/>
      <c r="I23" s="56"/>
      <c r="J23" s="56"/>
      <c r="K23" s="56"/>
      <c r="L23" s="56"/>
      <c r="M23" s="59" t="s">
        <v>226</v>
      </c>
      <c r="N23" s="65">
        <v>0.0</v>
      </c>
      <c r="O23" s="67"/>
    </row>
    <row r="24" ht="78.0" customHeight="1">
      <c r="A24" s="62">
        <v>14.0</v>
      </c>
      <c r="B24" s="72" t="s">
        <v>262</v>
      </c>
      <c r="C24" s="72" t="s">
        <v>286</v>
      </c>
      <c r="D24" s="72" t="s">
        <v>264</v>
      </c>
      <c r="E24" s="72" t="s">
        <v>288</v>
      </c>
      <c r="F24" s="59" t="s">
        <v>223</v>
      </c>
      <c r="G24" s="56"/>
      <c r="H24" s="56"/>
      <c r="I24" s="56"/>
      <c r="J24" s="56"/>
      <c r="K24" s="56"/>
      <c r="L24" s="56"/>
      <c r="M24" s="59" t="s">
        <v>226</v>
      </c>
      <c r="N24" s="65">
        <v>0.0</v>
      </c>
      <c r="O24" s="67"/>
    </row>
    <row r="25" ht="78.0" customHeight="1">
      <c r="A25" s="62">
        <v>15.0</v>
      </c>
      <c r="B25" s="73" t="s">
        <v>289</v>
      </c>
      <c r="C25" s="73" t="s">
        <v>290</v>
      </c>
      <c r="D25" s="73" t="s">
        <v>264</v>
      </c>
      <c r="E25" s="73" t="s">
        <v>292</v>
      </c>
      <c r="F25" s="59" t="s">
        <v>223</v>
      </c>
      <c r="G25" s="56"/>
      <c r="H25" s="56"/>
      <c r="I25" s="56"/>
      <c r="J25" s="56"/>
      <c r="K25" s="56"/>
      <c r="L25" s="56"/>
      <c r="M25" s="59" t="s">
        <v>226</v>
      </c>
      <c r="N25" s="65">
        <v>0.0</v>
      </c>
      <c r="O25" s="67"/>
    </row>
    <row r="26" ht="78.0" customHeight="1">
      <c r="A26" s="62">
        <v>16.0</v>
      </c>
      <c r="B26" s="73" t="s">
        <v>289</v>
      </c>
      <c r="C26" s="73" t="s">
        <v>295</v>
      </c>
      <c r="D26" s="73" t="s">
        <v>296</v>
      </c>
      <c r="E26" s="73" t="s">
        <v>297</v>
      </c>
      <c r="F26" s="56" t="s">
        <v>254</v>
      </c>
      <c r="G26" s="56" t="s">
        <v>299</v>
      </c>
      <c r="H26" s="56" t="s">
        <v>300</v>
      </c>
      <c r="I26" s="56" t="s">
        <v>301</v>
      </c>
      <c r="J26" s="56" t="s">
        <v>302</v>
      </c>
      <c r="K26" s="56" t="s">
        <v>303</v>
      </c>
      <c r="L26" s="56" t="s">
        <v>304</v>
      </c>
      <c r="M26" s="56" t="s">
        <v>214</v>
      </c>
      <c r="N26" s="60">
        <v>3.0</v>
      </c>
      <c r="O26" s="67"/>
    </row>
    <row r="27" ht="78.0" customHeight="1">
      <c r="A27" s="62">
        <v>17.0</v>
      </c>
      <c r="B27" s="74" t="s">
        <v>305</v>
      </c>
      <c r="C27" s="74" t="s">
        <v>306</v>
      </c>
      <c r="D27" s="74" t="s">
        <v>308</v>
      </c>
      <c r="E27" s="74" t="s">
        <v>309</v>
      </c>
      <c r="F27" s="56" t="s">
        <v>254</v>
      </c>
      <c r="G27" s="56" t="s">
        <v>310</v>
      </c>
      <c r="H27" s="56" t="s">
        <v>311</v>
      </c>
      <c r="I27" s="56" t="s">
        <v>313</v>
      </c>
      <c r="J27" s="75" t="s">
        <v>315</v>
      </c>
      <c r="K27" s="56" t="s">
        <v>317</v>
      </c>
      <c r="L27" s="56" t="s">
        <v>318</v>
      </c>
      <c r="M27" s="56" t="s">
        <v>214</v>
      </c>
      <c r="N27" s="60">
        <v>3.0</v>
      </c>
      <c r="O27" s="67"/>
    </row>
    <row r="28" ht="78.0" customHeight="1">
      <c r="A28" s="62">
        <v>18.0</v>
      </c>
      <c r="B28" s="74" t="s">
        <v>305</v>
      </c>
      <c r="C28" s="74" t="s">
        <v>321</v>
      </c>
      <c r="D28" s="74" t="s">
        <v>264</v>
      </c>
      <c r="E28" s="74" t="s">
        <v>323</v>
      </c>
      <c r="F28" s="56" t="s">
        <v>223</v>
      </c>
      <c r="G28" s="56"/>
      <c r="H28" s="56"/>
      <c r="I28" s="56"/>
      <c r="J28" s="56"/>
      <c r="K28" s="56"/>
      <c r="L28" s="56"/>
      <c r="M28" s="59" t="s">
        <v>226</v>
      </c>
      <c r="N28" s="65">
        <v>0.0</v>
      </c>
      <c r="O28" s="67"/>
    </row>
    <row r="29" ht="78.0" customHeight="1">
      <c r="A29" s="62">
        <v>19.0</v>
      </c>
      <c r="B29" s="74" t="s">
        <v>305</v>
      </c>
      <c r="C29" s="74" t="s">
        <v>326</v>
      </c>
      <c r="D29" s="74" t="s">
        <v>264</v>
      </c>
      <c r="E29" s="74" t="s">
        <v>328</v>
      </c>
      <c r="F29" s="56" t="s">
        <v>223</v>
      </c>
      <c r="G29" s="56"/>
      <c r="H29" s="56"/>
      <c r="I29" s="56"/>
      <c r="J29" s="56"/>
      <c r="K29" s="56"/>
      <c r="L29" s="56"/>
      <c r="M29" s="59" t="s">
        <v>226</v>
      </c>
      <c r="N29" s="65">
        <v>0.0</v>
      </c>
      <c r="O29" s="67"/>
    </row>
    <row r="30" ht="78.0" customHeight="1">
      <c r="A30" s="62">
        <v>20.0</v>
      </c>
      <c r="B30" s="77" t="s">
        <v>331</v>
      </c>
      <c r="C30" s="77" t="s">
        <v>332</v>
      </c>
      <c r="D30" s="77" t="s">
        <v>264</v>
      </c>
      <c r="E30" s="77" t="s">
        <v>333</v>
      </c>
      <c r="F30" s="56" t="s">
        <v>254</v>
      </c>
      <c r="G30" s="56" t="s">
        <v>335</v>
      </c>
      <c r="H30" s="56" t="s">
        <v>336</v>
      </c>
      <c r="I30" s="56" t="s">
        <v>337</v>
      </c>
      <c r="J30" s="56" t="s">
        <v>338</v>
      </c>
      <c r="K30" s="56" t="s">
        <v>339</v>
      </c>
      <c r="L30" s="56" t="s">
        <v>340</v>
      </c>
      <c r="M30" s="56" t="s">
        <v>214</v>
      </c>
      <c r="N30" s="60">
        <v>3.0</v>
      </c>
      <c r="O30" s="67"/>
    </row>
    <row r="31" ht="78.0" customHeight="1">
      <c r="A31" s="62">
        <v>21.0</v>
      </c>
      <c r="B31" s="77" t="s">
        <v>331</v>
      </c>
      <c r="C31" s="77" t="s">
        <v>342</v>
      </c>
      <c r="D31" s="77" t="s">
        <v>264</v>
      </c>
      <c r="E31" s="77" t="s">
        <v>344</v>
      </c>
      <c r="F31" s="56" t="s">
        <v>223</v>
      </c>
      <c r="G31" s="56"/>
      <c r="H31" s="56"/>
      <c r="I31" s="56"/>
      <c r="J31" s="56"/>
      <c r="K31" s="56"/>
      <c r="L31" s="56"/>
      <c r="M31" s="59" t="s">
        <v>226</v>
      </c>
      <c r="N31" s="65">
        <v>0.0</v>
      </c>
      <c r="O31" s="67"/>
    </row>
    <row r="32" ht="78.0" customHeight="1">
      <c r="A32" s="62">
        <v>22.0</v>
      </c>
      <c r="B32" s="77" t="s">
        <v>331</v>
      </c>
      <c r="C32" s="77" t="s">
        <v>348</v>
      </c>
      <c r="D32" s="77" t="s">
        <v>349</v>
      </c>
      <c r="E32" s="77" t="s">
        <v>350</v>
      </c>
      <c r="F32" s="56" t="s">
        <v>254</v>
      </c>
      <c r="G32" s="56" t="s">
        <v>351</v>
      </c>
      <c r="H32" s="56" t="s">
        <v>352</v>
      </c>
      <c r="I32" s="56" t="s">
        <v>353</v>
      </c>
      <c r="J32" s="56" t="s">
        <v>355</v>
      </c>
      <c r="K32" s="56" t="s">
        <v>356</v>
      </c>
      <c r="L32" s="56" t="s">
        <v>358</v>
      </c>
      <c r="M32" s="56" t="s">
        <v>214</v>
      </c>
      <c r="N32" s="60">
        <v>3.0</v>
      </c>
      <c r="O32" s="67"/>
    </row>
    <row r="33" ht="78.0" customHeight="1">
      <c r="A33" s="62">
        <v>23.0</v>
      </c>
      <c r="B33" s="77" t="s">
        <v>331</v>
      </c>
      <c r="C33" s="77" t="s">
        <v>359</v>
      </c>
      <c r="D33" s="77" t="s">
        <v>264</v>
      </c>
      <c r="E33" s="77" t="s">
        <v>361</v>
      </c>
      <c r="F33" s="56" t="s">
        <v>254</v>
      </c>
      <c r="G33" s="56" t="s">
        <v>362</v>
      </c>
      <c r="H33" s="56" t="s">
        <v>363</v>
      </c>
      <c r="I33" s="56" t="s">
        <v>364</v>
      </c>
      <c r="J33" s="78" t="s">
        <v>365</v>
      </c>
      <c r="K33" s="56" t="s">
        <v>367</v>
      </c>
      <c r="L33" s="56" t="s">
        <v>368</v>
      </c>
      <c r="M33" s="56" t="s">
        <v>214</v>
      </c>
      <c r="N33" s="60">
        <v>2.0</v>
      </c>
      <c r="O33" s="67"/>
    </row>
    <row r="34" ht="78.0" customHeight="1">
      <c r="A34" s="62">
        <v>24.0</v>
      </c>
      <c r="B34" s="77" t="s">
        <v>331</v>
      </c>
      <c r="C34" s="77" t="s">
        <v>371</v>
      </c>
      <c r="D34" s="77" t="s">
        <v>264</v>
      </c>
      <c r="E34" s="77" t="s">
        <v>372</v>
      </c>
      <c r="F34" s="56" t="s">
        <v>223</v>
      </c>
      <c r="G34" s="56"/>
      <c r="H34" s="56"/>
      <c r="I34" s="56"/>
      <c r="J34" s="56"/>
      <c r="K34" s="56"/>
      <c r="L34" s="56"/>
      <c r="M34" s="59" t="s">
        <v>226</v>
      </c>
      <c r="N34" s="65">
        <v>0.0</v>
      </c>
      <c r="O34" s="67"/>
    </row>
    <row r="35" ht="78.0" customHeight="1">
      <c r="A35" s="62">
        <v>25.0</v>
      </c>
      <c r="B35" s="77" t="s">
        <v>331</v>
      </c>
      <c r="C35" s="77" t="s">
        <v>374</v>
      </c>
      <c r="D35" s="77" t="s">
        <v>264</v>
      </c>
      <c r="E35" s="77" t="s">
        <v>375</v>
      </c>
      <c r="F35" s="56" t="s">
        <v>223</v>
      </c>
      <c r="G35" s="56"/>
      <c r="H35" s="56"/>
      <c r="I35" s="56"/>
      <c r="J35" s="56"/>
      <c r="K35" s="56"/>
      <c r="L35" s="56"/>
      <c r="M35" s="59" t="s">
        <v>226</v>
      </c>
      <c r="N35" s="65">
        <v>0.0</v>
      </c>
      <c r="O35" s="67"/>
    </row>
    <row r="36" ht="78.0" customHeight="1">
      <c r="A36" s="62">
        <v>26.0</v>
      </c>
      <c r="B36" s="77" t="s">
        <v>331</v>
      </c>
      <c r="C36" s="77" t="s">
        <v>378</v>
      </c>
      <c r="D36" s="77" t="s">
        <v>380</v>
      </c>
      <c r="E36" s="77" t="s">
        <v>381</v>
      </c>
      <c r="F36" s="56" t="s">
        <v>254</v>
      </c>
      <c r="G36" s="56" t="s">
        <v>382</v>
      </c>
      <c r="H36" s="56" t="s">
        <v>383</v>
      </c>
      <c r="I36" s="56" t="s">
        <v>384</v>
      </c>
      <c r="J36" s="78" t="s">
        <v>386</v>
      </c>
      <c r="K36" s="56" t="s">
        <v>387</v>
      </c>
      <c r="L36" s="56" t="s">
        <v>389</v>
      </c>
      <c r="M36" s="56" t="s">
        <v>214</v>
      </c>
      <c r="N36" s="60">
        <v>3.0</v>
      </c>
      <c r="O36" s="67"/>
    </row>
    <row r="37" ht="78.0" customHeight="1">
      <c r="A37" s="62">
        <v>27.0</v>
      </c>
      <c r="B37" s="79" t="s">
        <v>390</v>
      </c>
      <c r="C37" s="79" t="s">
        <v>393</v>
      </c>
      <c r="D37" s="79" t="s">
        <v>394</v>
      </c>
      <c r="E37" s="79" t="s">
        <v>395</v>
      </c>
      <c r="F37" s="56" t="s">
        <v>223</v>
      </c>
      <c r="G37" s="56"/>
      <c r="H37" s="56"/>
      <c r="I37" s="56"/>
      <c r="J37" s="56"/>
      <c r="K37" s="56"/>
      <c r="L37" s="56"/>
      <c r="M37" s="59" t="s">
        <v>226</v>
      </c>
      <c r="N37" s="65">
        <v>0.0</v>
      </c>
      <c r="O37" s="67"/>
    </row>
    <row r="38" ht="78.0" customHeight="1">
      <c r="A38" s="62">
        <v>28.0</v>
      </c>
      <c r="B38" s="79" t="s">
        <v>390</v>
      </c>
      <c r="C38" s="79" t="s">
        <v>400</v>
      </c>
      <c r="D38" s="79" t="s">
        <v>394</v>
      </c>
      <c r="E38" s="79" t="s">
        <v>395</v>
      </c>
      <c r="F38" s="56" t="s">
        <v>223</v>
      </c>
      <c r="G38" s="56"/>
      <c r="H38" s="56"/>
      <c r="I38" s="56"/>
      <c r="J38" s="56"/>
      <c r="K38" s="56"/>
      <c r="L38" s="56"/>
      <c r="M38" s="59" t="s">
        <v>226</v>
      </c>
      <c r="N38" s="65">
        <v>0.0</v>
      </c>
      <c r="O38" s="67"/>
    </row>
    <row r="39" ht="78.0" customHeight="1">
      <c r="A39" s="62">
        <v>29.0</v>
      </c>
      <c r="B39" s="79" t="s">
        <v>390</v>
      </c>
      <c r="C39" s="79" t="s">
        <v>402</v>
      </c>
      <c r="D39" s="79" t="s">
        <v>394</v>
      </c>
      <c r="E39" s="79" t="s">
        <v>395</v>
      </c>
      <c r="F39" s="56" t="s">
        <v>223</v>
      </c>
      <c r="G39" s="56"/>
      <c r="H39" s="56"/>
      <c r="I39" s="56"/>
      <c r="J39" s="56"/>
      <c r="K39" s="56"/>
      <c r="L39" s="56"/>
      <c r="M39" s="59" t="s">
        <v>226</v>
      </c>
      <c r="N39" s="65">
        <v>0.0</v>
      </c>
      <c r="O39" s="67"/>
    </row>
    <row r="40" ht="78.0" customHeight="1">
      <c r="A40" s="80">
        <v>30.0</v>
      </c>
      <c r="B40" s="81" t="s">
        <v>390</v>
      </c>
      <c r="C40" s="81" t="s">
        <v>406</v>
      </c>
      <c r="D40" s="81" t="s">
        <v>394</v>
      </c>
      <c r="E40" s="81" t="s">
        <v>395</v>
      </c>
      <c r="F40" s="56" t="s">
        <v>223</v>
      </c>
      <c r="G40" s="82"/>
      <c r="H40" s="82"/>
      <c r="I40" s="82"/>
      <c r="J40" s="82"/>
      <c r="K40" s="82"/>
      <c r="L40" s="82"/>
      <c r="M40" s="59" t="s">
        <v>226</v>
      </c>
      <c r="N40" s="65">
        <v>0.0</v>
      </c>
      <c r="O40" s="83"/>
    </row>
    <row r="41" ht="14.25" customHeight="1"/>
    <row r="42" ht="42.0" customHeight="1">
      <c r="A42" s="84" t="s">
        <v>408</v>
      </c>
      <c r="B42" s="3"/>
      <c r="C42" s="3"/>
      <c r="D42" s="3"/>
      <c r="E42" s="3"/>
      <c r="F42" s="3"/>
      <c r="G42" s="3"/>
      <c r="H42" s="3"/>
      <c r="I42" s="3"/>
      <c r="J42" s="3"/>
      <c r="K42" s="3"/>
      <c r="L42" s="3"/>
      <c r="M42" s="3"/>
      <c r="N42" s="3"/>
      <c r="O42" s="2"/>
    </row>
    <row r="43" ht="33.75" customHeight="1">
      <c r="A43" s="85" t="s">
        <v>410</v>
      </c>
      <c r="B43" s="3"/>
      <c r="C43" s="3"/>
      <c r="D43" s="3"/>
      <c r="E43" s="3"/>
      <c r="F43" s="3"/>
      <c r="G43" s="3"/>
      <c r="H43" s="3"/>
      <c r="I43" s="3"/>
      <c r="J43" s="3"/>
      <c r="K43" s="3"/>
      <c r="L43" s="3"/>
      <c r="M43" s="3"/>
      <c r="N43" s="3"/>
      <c r="O43" s="2"/>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O1"/>
    <mergeCell ref="A3:O3"/>
    <mergeCell ref="A4:O4"/>
    <mergeCell ref="A42:O42"/>
    <mergeCell ref="A43:O43"/>
  </mergeCells>
  <conditionalFormatting sqref="F11:F40">
    <cfRule type="expression" dxfId="3" priority="1">
      <formula>F11="Hoàn thành &amp; demo được"</formula>
    </cfRule>
  </conditionalFormatting>
  <conditionalFormatting sqref="F11:F40">
    <cfRule type="expression" dxfId="4" priority="2">
      <formula>F11="Hoàn thành nhưng chưa demo"</formula>
    </cfRule>
  </conditionalFormatting>
  <conditionalFormatting sqref="F11:F40">
    <cfRule type="expression" dxfId="5" priority="3">
      <formula>F11="Chưa làm"</formula>
    </cfRule>
  </conditionalFormatting>
  <conditionalFormatting sqref="M11:M40 N21:N25 N28:N29 N31 N34:N35 N37:N40">
    <cfRule type="expression" dxfId="6" priority="4">
      <formula>M11="Có"</formula>
    </cfRule>
  </conditionalFormatting>
  <conditionalFormatting sqref="M11:M40 N21:N25 N28:N29 N31 N34:N35 N37:N40">
    <cfRule type="expression" dxfId="7" priority="5">
      <formula>M11="Không"</formula>
    </cfRule>
  </conditionalFormatting>
  <conditionalFormatting sqref="N11:N40 M12:M18 M20:M25 M28:M29 M31 M34:M35 M37:M40">
    <cfRule type="colorScale" priority="6">
      <colorScale>
        <cfvo type="min"/>
        <cfvo type="percentile" val="50"/>
        <cfvo type="max"/>
        <color rgb="FFF4CCCC"/>
        <color rgb="FFFFE599"/>
        <color rgb="FFB6D7A8"/>
      </colorScale>
    </cfRule>
  </conditionalFormatting>
  <dataValidations>
    <dataValidation type="list" allowBlank="1" sqref="F11:F40">
      <formula1>"Chưa làm,Đang làm,Hoàn thành nhưng chưa demo,Hoàn thành &amp; demo được"</formula1>
    </dataValidation>
    <dataValidation type="list" allowBlank="1" sqref="N11:N40">
      <formula1>"0,1,2,3"</formula1>
    </dataValidation>
    <dataValidation type="list" allowBlank="1" sqref="M11:M40">
      <formula1>"Không,Có"</formula1>
    </dataValidation>
  </dataValidations>
  <hyperlinks>
    <hyperlink r:id="rId1" location="L38" ref="J27"/>
    <hyperlink r:id="rId2" ref="J33"/>
    <hyperlink r:id="rId3" location="L27" ref="J36"/>
  </hyperlinks>
  <printOptions/>
  <pageMargins bottom="0.75" footer="0.0" header="0.0" left="0.7" right="0.7" top="0.75"/>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tvquy</dc:creator>
</cp:coreProperties>
</file>