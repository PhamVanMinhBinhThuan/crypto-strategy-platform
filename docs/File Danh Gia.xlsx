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TU_DANH_GIA" sheetId="1" r:id="rId4"/>
    <sheet state="visible" name="2_THANH_VIEN" sheetId="2" r:id="rId5"/>
    <sheet state="visible" name="3_CHECKLIST_DEMO" sheetId="3" r:id="rId6"/>
    <sheet state="visible" name="4_HUONG_DAN" sheetId="4" r:id="rId7"/>
    <sheet state="visible" name="5_DIEM_CONG_NANG_CAO" sheetId="5" r:id="rId8"/>
  </sheets>
  <definedNames/>
  <calcPr/>
  <extLst>
    <ext uri="GoogleSheetsCustomDataVersion2">
      <go:sheetsCustomData xmlns:go="http://customooxmlschemas.google.com/" r:id="rId9" roundtripDataChecksum="snW7K6OEkC+VRTb4jtP8B4bhitvYDeULZwvZNBHQPUs="/>
    </ext>
  </extLst>
</workbook>
</file>

<file path=xl/sharedStrings.xml><?xml version="1.0" encoding="utf-8"?>
<sst xmlns="http://schemas.openxmlformats.org/spreadsheetml/2006/main" count="447" uniqueCount="347">
  <si>
    <t>PHÂN CÔNG &amp; TỰ ĐÁNH GIÁ ĐÓNG GÓP THÀNH VIÊN</t>
  </si>
  <si>
    <t>CHECKLIST DEMO &amp; KIỂM TRA KIẾN TRÚC</t>
  </si>
  <si>
    <t>HƯỚNG DẪN SỬ DỤNG TEMPLATE</t>
  </si>
  <si>
    <t>TEMPLATE TỰ ĐÁNH GIÁ ĐỒ ÁN CUỐI KỲ – CRYPTO STRATEGY LAB</t>
  </si>
  <si>
    <t>Nhập phần trăm đóng góp theo tổng 100%. Ghi rõ module/công việc và minh chứng (commit, PR, file, video hoặc phần báo cáo) để tránh đánh giá cảm tính.</t>
  </si>
  <si>
    <t>Tên đề tài</t>
  </si>
  <si>
    <t>STT</t>
  </si>
  <si>
    <t>crypto-strategy-platform</t>
  </si>
  <si>
    <t>1. Mục tiêu</t>
  </si>
  <si>
    <t>MSSV</t>
  </si>
  <si>
    <t>Họ và tên</t>
  </si>
  <si>
    <t>Template giúp nhóm sinh viên tự kiểm tra trước khi nộp đồ án. Trọng tâm là chất lượng kiến trúc phần mềm và khả năng mở rộng/thay đổi của hệ thống, không phải chứng minh strategy kiếm tiền tốt.</t>
  </si>
  <si>
    <t>Vai trò chính</t>
  </si>
  <si>
    <t>Link GitHub</t>
  </si>
  <si>
    <t>Đóng góp (%)</t>
  </si>
  <si>
    <t>https://github.com/PhamVanMinhBinhThuan/crypto-strategy-platform</t>
  </si>
  <si>
    <t>Công việc đã thực hiện</t>
  </si>
  <si>
    <t>2. Cách dùng nhanh</t>
  </si>
  <si>
    <t>Minh chứng</t>
  </si>
  <si>
    <t>(1) Điền thông tin/link ở sheet 1. (2) Điền đóng góp thành viên ở sheet 2. (3) Chấm từng tiêu chí mức 0–4 và dán minh chứng. (4) Sửa các dòng 'Thiếu minh chứng'. (5) Chạy toàn bộ checklist demo ở sheet 3.</t>
  </si>
  <si>
    <t>Ghi chú</t>
  </si>
  <si>
    <t>3. Thang điểm 0</t>
  </si>
  <si>
    <t>Chưa có chức năng/kiến trúc tương ứng hoặc không chạy được.</t>
  </si>
  <si>
    <t>4. Thang điểm 1</t>
  </si>
  <si>
    <t>Có prototype nhưng thiếu nhiều yêu cầu, coupling cao, không ổn định hoặc gần như chưa có minh chứng.</t>
  </si>
  <si>
    <t>5. Thang điểm 2</t>
  </si>
  <si>
    <t>Nguyễn Tiến Luật</t>
  </si>
  <si>
    <t>Dùng sheet này trước khi nộp và trước buổi demo. Mỗi bước nên có người phụ trách và minh chứng ngắn để demo không bị thiếu flow.</t>
  </si>
  <si>
    <t>Đạt một phần; chạy được nhưng còn thiếu yêu cầu quan trọng hoặc chưa chứng minh rõ thiết kế.</t>
  </si>
  <si>
    <t>6. Thang điểm 3</t>
  </si>
  <si>
    <t>Đạt yêu cầu cơ bản, demo được end-to-end và có minh chứng đủ để người chấm kiểm tra.</t>
  </si>
  <si>
    <t>7. Thang điểm 4</t>
  </si>
  <si>
    <t>Bước</t>
  </si>
  <si>
    <t>Đạt tốt/vượt yêu cầu: thiết kế modular, thay đổi ít ảnh hưởng, ổn định, có đo lường/test/minh chứng rõ.</t>
  </si>
  <si>
    <t>Kịch bản demo end-to-end</t>
  </si>
  <si>
    <t>Kết quả mong đợi</t>
  </si>
  <si>
    <t>Phạm Văn Minh</t>
  </si>
  <si>
    <t>8. Các chức năng bắt buộc cần rà soát</t>
  </si>
  <si>
    <t>Trạng thái</t>
  </si>
  <si>
    <t>Binance data; candlestick + realtime + tối đa 4 timeframe; ≥4 strategy; composite; backtest; Return/Win Rate/MDD/Trades; Random Search; Top-K; Buy/Sell + Entry/Exit; news collect/store/sentiment.</t>
  </si>
  <si>
    <t>Người phụ trách</t>
  </si>
  <si>
    <t>Nhóm tiêu chí</t>
  </si>
  <si>
    <t>9. Các câu hỏi kiến trúc nên trả lời</t>
  </si>
  <si>
    <t>Thêm strategy mới sửa gì? Đổi search algorithm có ảnh hưởng backtester không? Thêm provider mới frontend có đổi không? Scale 100→100.000 backtest ra sao? News lỗi chart còn chạy không? Đổi sentiment model ảnh hưởng gì? Binance disconnect phục hồi thế nào? Leaderboard trace strategy version ra sao?</t>
  </si>
  <si>
    <t>Mở BTCUSDT với 4 timeframe</t>
  </si>
  <si>
    <t>Đặng Nghi Văn</t>
  </si>
  <si>
    <t>4 chart realtime (ví dụ 5m | 15m | 1h | 4h) hiển thị ổn định.</t>
  </si>
  <si>
    <t>10. Anti-pattern cần tránh</t>
  </si>
  <si>
    <t>Điểm tối đa</t>
  </si>
  <si>
    <t>God Service; hard-coded strategy combinations; frontend chứa business logic/backtest/ranking; Strategy truy cập DB trực tiếp; crawler phụ thuộc chặt vào ML model.</t>
  </si>
  <si>
    <t>Điểm đạt</t>
  </si>
  <si>
    <t>11. Phần nâng cao</t>
  </si>
  <si>
    <t>Nhóm / Lớp</t>
  </si>
  <si>
    <t>Không tự cộng điểm chỉ vì dùng Redis/Kafka/Microservices/AI/Genetic/LLM. Chỉ chấm cao khi nhóm giải thích công nghệ giải quyết vấn đề kiến trúc nào và có minh chứng độ phức tạp/công sức.</t>
  </si>
  <si>
    <t>Nguyễn Huỳnh Tiến</t>
  </si>
  <si>
    <t>12. Hồ sơ nộp</t>
  </si>
  <si>
    <t>Lớp 23KTPM01 - Nhóm 09</t>
  </si>
  <si>
    <t>Đạt</t>
  </si>
  <si>
    <t>Source code; README (Install/Run/Architecture/Demo); Architecture Document; ADR; demo gồm realtime chart, multi-timeframe, strategy, combination, backtest, leaderboard, trade visualization, news và sentiment.</t>
  </si>
  <si>
    <t>Link video demo</t>
  </si>
  <si>
    <t>Nguồn xây dựng template</t>
  </si>
  <si>
    <t>Crypto Strategy Lab – Đồ án cuối kỳ(3).pdf và file mẫu 22127480-22127211-Tự đánh giá.xlsx do người dùng cung cấp.</t>
  </si>
  <si>
    <t>13. Tự khai chức năng mở rộng / điểm cộng</t>
  </si>
  <si>
    <t>Dùng sheet 5_DIEM_CONG_NANG_CAO. Chỉ điền các mục nhóm thực sự triển khai vượt các chức năng/yêu cầu bắt buộc của đề bài; không cần điền tất cả.</t>
  </si>
  <si>
    <t>Kiến trúc phần mềm</t>
  </si>
  <si>
    <t>Chọn MA, RSI, Bollinger, Support/Resistance</t>
  </si>
  <si>
    <t>Các strategy được bật/chọn mà không ảnh hưởng module khác.</t>
  </si>
  <si>
    <t>14. Minh chứng nâng cao</t>
  </si>
  <si>
    <t>Mỗi mục nên có ít nhất: mô tả implementation, module liên quan, link code/commit/ADR, kịch bản demo và kết quả test/measurement.</t>
  </si>
  <si>
    <t>15. Quyền quyết định điểm cộng</t>
  </si>
  <si>
    <t>Sinh viên không tự cộng vào tổng điểm. Giảng viên xem xét mức độ vượt yêu cầu bắt buộc, chất lượng triển khai và minh chứng ở cột cuối của sheet 5.</t>
  </si>
  <si>
    <t>Bấm START SEARCH</t>
  </si>
  <si>
    <t>Search loop bắt đầu, có trạng thái chạy rõ ràng.</t>
  </si>
  <si>
    <t>Quan sát candidate đang backtest</t>
  </si>
  <si>
    <t>Hiển thị candidate tested/current candidate/backtesting progress hoặc log tương đương.</t>
  </si>
  <si>
    <t>Quan sát Leaderboard cập nhật</t>
  </si>
  <si>
    <t>Trưởng nhóm</t>
  </si>
  <si>
    <t>Top-K thay đổi khi candidate mới có score tốt hơn.</t>
  </si>
  <si>
    <t>Click Top strategy</t>
  </si>
  <si>
    <t>Link báo cáo</t>
  </si>
  <si>
    <t>Chart hiển thị strategy, indicator/zone và Buy/Sell.</t>
  </si>
  <si>
    <t>Mở Trade Detail / Metrics</t>
  </si>
  <si>
    <t>Chức năng yêu cầu</t>
  </si>
  <si>
    <t>Xem được trades, Return, Win Rate, MDD, Number of Trades.</t>
  </si>
  <si>
    <t>Ngày tự đánh giá</t>
  </si>
  <si>
    <t>Mở News</t>
  </si>
  <si>
    <t>Hiển thị tin BTC/coin liên quan và sentiment summary.</t>
  </si>
  <si>
    <t>Link hướng dẫn cài đặt</t>
  </si>
  <si>
    <t>Tích hợp SentimentStrategy (nếu có)</t>
  </si>
  <si>
    <t>https://github.com/PhamVanMinhBinhThuan/crypto-strategy-platform/blob/main/docs/SETUP.md</t>
  </si>
  <si>
    <t>Sentiment có thể trở thành input/strategy mà không phá Strategy Engine.</t>
  </si>
  <si>
    <t>TỔNG ĐÓNG GÓP</t>
  </si>
  <si>
    <t>Chạy lại search/composite</t>
  </si>
  <si>
    <t>Có thể thử MA+RSI+Sentiment hoặc combination khác và tiếp tục vòng lặp.</t>
  </si>
  <si>
    <t>SCENARIO KIỂM TRA CHẤT LƯỢNG KIẾN TRÚC</t>
  </si>
  <si>
    <t>Hồ sơ &amp; tài liệu</t>
  </si>
  <si>
    <t>#</t>
  </si>
  <si>
    <t>Link deployment (nếu có)</t>
  </si>
  <si>
    <t>Scenario</t>
  </si>
  <si>
    <t>Điều cần chứng minh</t>
  </si>
  <si>
    <t>Demo &amp; độ tin cậy</t>
  </si>
  <si>
    <t>Thêm MACDStrategy</t>
  </si>
  <si>
    <t>Chỉ thêm class/plugin + register; không sửa nhiều controller/backtester/evaluator/UI.</t>
  </si>
  <si>
    <t>Thang tự đánh giá 0–4: 0 = chưa có/không chạy; 1 = rất thiếu; 2 = đạt một phần; 3 = đạt yêu cầu cơ bản và demo được; 4 = tốt/vượt yêu cầu, có minh chứng rõ.</t>
  </si>
  <si>
    <t>Đổi Random Search → Domain-guided/Genetic</t>
  </si>
  <si>
    <t>Các component phía sau vẫn chỉ nhận CandidateStrategy; Backtester không phải sửa.</t>
  </si>
  <si>
    <t>Mở rộng có giá trị</t>
  </si>
  <si>
    <t>Thêm Market Data Provider mới</t>
  </si>
  <si>
    <t>Frontend và Strategy Engine không phụ thuộc trực tiếp schema/provider cụ thể.</t>
  </si>
  <si>
    <t>TỔNG</t>
  </si>
  <si>
    <t>Binance WebSocket disconnect</t>
  </si>
  <si>
    <t>Có reconnect/retry và cơ chế tránh mất/nhảy dữ liệu bất hợp lý.</t>
  </si>
  <si>
    <t>News Service lỗi</t>
  </si>
  <si>
    <t>Chart/market data vẫn hoạt động; lỗi được cô lập và quan sát được.</t>
  </si>
  <si>
    <t>TỔNG ĐIỂM / 100</t>
  </si>
  <si>
    <t>Trace một dòng Leaderboard</t>
  </si>
  <si>
    <t>QUY ĐỔI / 10</t>
  </si>
  <si>
    <t>Truy được strategy version, parameters, dataset/timeframe và trades đã tạo score.</t>
  </si>
  <si>
    <t>TIÊU CHÍ ĐẠT (≥3)</t>
  </si>
  <si>
    <t>THIẾU MINH CHỨNG</t>
  </si>
  <si>
    <t>Scale số backtest</t>
  </si>
  <si>
    <t>Giải thích hoặc demo queue/worker/batch/concurrency khi tăng từ 100 lên nhiều candidate.</t>
  </si>
  <si>
    <t>Nguyên tắc: đồ án tập trung vào KIẾN TRÚC PHẦN MỀM. Phải chứng minh công nghệ giải quyết vấn đề kiến trúc nào.</t>
  </si>
  <si>
    <t>Tiêu chí</t>
  </si>
  <si>
    <t>Yêu cầu cần đạt / minh chứng nên có</t>
  </si>
  <si>
    <t>Mức tự đánh giá
(0–4)</t>
  </si>
  <si>
    <t>Điểm quy đổi</t>
  </si>
  <si>
    <t>Minh chứng / link(Có thể cập nhật đến hết ngày 4/9)</t>
  </si>
  <si>
    <t>Ghi chú / kế hoạch hoàn thiện</t>
  </si>
  <si>
    <t>Cảnh báo</t>
  </si>
  <si>
    <t>A. Kiến trúc phần mềm</t>
  </si>
  <si>
    <t>Khả năng mở rộng Strategy / Plugin</t>
  </si>
  <si>
    <t>Có abstraction/interface Strategy; thêm strategy mới (ví dụ MACD) với thay đổi tối thiểu; không hard-code if/else theo từng strategy.</t>
  </si>
  <si>
    <t>PHIẾU TỰ KHAI CHỨC NĂNG NÂNG CAO – GIẢNG VIÊN XEM XÉT ĐIỂM CỘNG</t>
  </si>
  <si>
    <r>
      <rPr>
        <rFont val="Carlito"/>
        <color rgb="FF2563EB"/>
        <sz val="10.0"/>
        <u/>
      </rPr>
      <t xml:space="preserve">Mở rộng strategy
</t>
    </r>
    <r>
      <rPr>
        <rFont val="Carlito"/>
        <color rgb="FF1155CC"/>
        <sz val="10.0"/>
        <u/>
      </rPr>
      <t>https://github.com/PhamVanMinhBinhThuan/crypto-strategy-platform/blob/ef1ae919c06965895491868025dc8445deb46925/docs/adr/0005-strategy-plugin-registry.md#L155</t>
    </r>
    <r>
      <rPr>
        <rFont val="Carlito"/>
        <color rgb="FF1F1F1F"/>
        <sz val="10.0"/>
      </rPr>
      <t xml:space="preserve"> 
</t>
    </r>
    <r>
      <rPr>
        <rFont val="Carlito"/>
        <color rgb="FF1155CC"/>
        <sz val="10.0"/>
        <u/>
      </rPr>
      <t>https://github.com/PhamVanMinhBinhThuan/crypto-strategy-platform/blob/ef1ae919c06965895491868025dc8445deb46925/docs/adr/0005-strategy-plugin-registry.md#L184</t>
    </r>
    <r>
      <rPr>
        <rFont val="Carlito"/>
        <color rgb="FF1F1F1F"/>
        <sz val="10.0"/>
      </rPr>
      <t xml:space="preserve"> 
</t>
    </r>
    <r>
      <rPr>
        <rFont val="Carlito"/>
        <sz val="10.0"/>
      </rPr>
      <t xml:space="preserve">Architecture:
</t>
    </r>
    <r>
      <rPr>
        <rFont val="Carlito"/>
        <color rgb="FF1155CC"/>
        <sz val="10.0"/>
        <u/>
      </rPr>
      <t>https://github.com/PhamVanMinhBinhThuan/crypto-strategy-platform/blob/ef1ae919c06965895491868025dc8445deb46925/docs/architecture/module-view.md#L66</t>
    </r>
    <r>
      <rPr>
        <rFont val="Carlito"/>
        <sz val="10.0"/>
      </rPr>
      <t xml:space="preserve"> 
Implementation/Test</t>
    </r>
    <r>
      <rPr>
        <rFont val="Carlito"/>
        <color rgb="FF1155CC"/>
        <sz val="10.0"/>
        <u/>
      </rPr>
      <t xml:space="preserve">
https://github.com/PhamVanMinhBinhThuan/crypto-strategy-platform/blob/ef1ae919c06965895491868025dc8445deb46925/modules/strategy-core/src/main/java/com/cryptostrategy/platform/strategy/api/StrategyPlugin.java#L4</t>
    </r>
    <r>
      <rPr>
        <rFont val="Carlito"/>
        <sz val="10.0"/>
      </rPr>
      <t xml:space="preserve"> 
https://github.com/PhamVanMinhBinhThuan/crypto-strategy-platform/blob/ef1ae919c06965895491868025dc8445deb46925/modules/strategy-core/src/main/java/com/cryptostrategy/platform/strategy/api/Strategy.java#L4
https://github.com/PhamVanMinhBinhThuan/crypto-strategy-platform/blob/ef1ae919c06965895491868025dc8445deb46925/modules/strategy-core/src/main/java/com/cryptostrategy/platform/strategy/internal/registry/DefaultStrategyRegistry.java#L34
https://github.com/PhamVanMinhBinhThuan/crypto-strategy-platform/blob/ef1ae919c06965895491868025dc8445deb46925/modules/strategies/src/main/java/com/cryptostrategy/platform/strategies/api/StrategyPlugins.java#L15
</t>
    </r>
    <r>
      <rPr>
        <rFont val="Carlito"/>
        <color rgb="FF1155CC"/>
        <sz val="10.0"/>
        <u/>
      </rPr>
      <t xml:space="preserve">https://github.com/PhamVanMinhBinhThuan/crypto-strategy-platform/blob/ef1ae919c06965895491868025dc8445deb46925/docs/evidence/f014/foundation-gates.md#L27
</t>
    </r>
  </si>
  <si>
    <t>Mục đích: Nhóm chỉ khai những phần thực sự vượt các chức năng/yêu cầu bắt buộc của đề bài. Đây KHÔNG phải điểm tự động; giảng viên quyết định có cộng điểm hay không sau khi xem code, demo và minh chứng.</t>
  </si>
  <si>
    <t>Nguyên tắc: Không được xem là nâng cao chỉ vì dùng công nghệ phức tạp. Nhóm phải nêu rõ: (1) đã làm gì; (2) giải quyết vấn đề kiến trúc nào; (3) vượt yêu cầu bắt buộc ở điểm nào; (4) minh chứng ở đâu; (5) demo/đo lường kết quả ra sao.</t>
  </si>
  <si>
    <t>TÓM TẮT TỰ KHAI</t>
  </si>
  <si>
    <t>Giá trị</t>
  </si>
  <si>
    <t>Số mục hoàn thành &amp; demo được</t>
  </si>
  <si>
    <t>Tách trách nhiệm &amp; giảm coupling</t>
  </si>
  <si>
    <t>Strategy chỉ xử lý logic strategy; tách Market Data, Backtest, Evaluator, Ranking, News, Sentiment, UI; tránh God Service và business logic ở frontend.</t>
  </si>
  <si>
    <r>
      <rPr>
        <rFont val="Carlito"/>
        <color rgb="FF2563EB"/>
        <sz val="10.0"/>
        <u/>
      </rPr>
      <t xml:space="preserve">Mở rộng strategy
</t>
    </r>
    <r>
      <rPr>
        <rFont val="Carlito"/>
        <color rgb="FF1F1F1F"/>
        <sz val="10.0"/>
      </rPr>
      <t xml:space="preserve">ADR:
https://github.com/PhamVanMinhBinhThuan/crypto-strategy-platform/blob/ef1ae919c06965895491868025dc8445deb46925/docs/adr/0002-module-boundaries.md#L37
https://github.com/PhamVanMinhBinhThuan/crypto-strategy-platform/blob/ef1ae919c06965895491868025dc8445deb46925/docs/adr/0002-module-boundaries.md#L125
Architecture:
https://github.com/PhamVanMinhBinhThuan/crypto-strategy-platform/blob/ef1ae919c06965895491868025dc8445deb46925/docs/architecture/module-view.md#L40
https://github.com/PhamVanMinhBinhThuan/crypto-strategy-platform/blob/ef1ae919c06965895491868025dc8445deb46925/docs/architecture/container-view.md#L44
Implementation/Test:
https://github.com/PhamVanMinhBinhThuan/crypto-strategy-platform/blob/ef1ae919c06965895491868025dc8445deb46925/settings.gradle.kts#L16
https://github.com/PhamVanMinhBinhThuan/crypto-strategy-platform/blob/ef1ae919c06965895491868025dc8445deb46925/docs/evidence/f014/foundation-gates.md#L29
https://github.com/PhamVanMinhBinhThuan/crypto-strategy-platform/blob/ef1ae919c06965895491868025dc8445deb46925/apps/web/tests/architecture/f012-feature-boundaries.test.ts#L7
</t>
    </r>
    <r>
      <rPr>
        <rFont val="Carlito"/>
        <color rgb="FF1155CC"/>
        <sz val="10.0"/>
        <u/>
      </rPr>
      <t>https://github.com/PhamVanMinhBinhThuan/crypto-strategy-platform/blob/ef1ae919c06965895491868025dc8445deb46925/apps/web/tests/architecture/f013-boundaries.test.ts#L1</t>
    </r>
  </si>
  <si>
    <t>Khả năng thay thế thành phần</t>
  </si>
  <si>
    <t>Số mục có minh chứng</t>
  </si>
  <si>
    <t>Có thể thay Random Search → Domain-guided/Genetic, Binance → provider khác, hoặc sentiment model mà không phải viết lại các module phía sau.</t>
  </si>
  <si>
    <r>
      <rPr>
        <rFont val="Carlito"/>
        <color rgb="FF2563EB"/>
        <sz val="10.0"/>
        <u/>
      </rPr>
      <t xml:space="preserve">Khả năng thay đổi search
</t>
    </r>
    <r>
      <rPr>
        <rFont val="Carlito"/>
        <color rgb="FF1F1F1F"/>
        <sz val="10.0"/>
      </rPr>
      <t xml:space="preserve">ADR:
https://github.com/PhamVanMinhBinhThuan/crypto-strategy-platform/blob/ef1ae919c06965895491868025dc8445deb46925/docs/adr/0003-market-data-adapter.md#L29
https://github.com/PhamVanMinhBinhThuan/crypto-strategy-platform/blob/ef1ae919c06965895491868025dc8445deb46925/docs/adr/0010-strategy-generator-contract.md#L31
https://github.com/PhamVanMinhBinhThuan/crypto-strategy-platform/blob/ef1ae919c06965895491868025dc8445deb46925/docs/adr/0008-sentiment-service-boundary.md#L135
Architecture: 
https://github.com/PhamVanMinhBinhThuan/crypto-strategy-platform/blob/ef1ae919c06965895491868025dc8445deb46925/docs/architecture/container-view.md#L44
https://github.com/PhamVanMinhBinhThuan/crypto-strategy-platform/blob/ef1ae919c06965895491868025dc8445deb46925/docs/architecture/architecture-evidence.md#L51
Implementation/Test:
https://github.com/PhamVanMinhBinhThuan/crypto-strategy-platform/blob/ef1ae919c06965895491868025dc8445deb46925/modules/market-data/src/main/java/com/cryptostrategy/platform/marketdata/api/port/out/MarketDataProvider.java#L11
https://github.com/PhamVanMinhBinhThuan/crypto-strategy-platform/blob/ef1ae919c06965895491868025dc8445deb46925/modules/market-data/src/main/java/com/cryptostrategy/platform/marketdata/internal/provider/binance/BinanceHistoricalProvider.java#L20
https://github.com/PhamVanMinhBinhThuan/crypto-strategy-platform/blob/ef1ae919c06965895491868025dc8445deb46925/modules/market-data/src/main/java/com/cryptostrategy/platform/marketdata/internal/provider/fixture/FixtureMarketDataProvider.java#L15
https://github.com/PhamVanMinhBinhThuan/crypto-strategy-platform/blob/ef1ae919c06965895491868025dc8445deb46925/modules/search/src/main/java/com/cryptostrategy/platform/search/api/port/in/StrategyGenerator.java#L8
https://github.com/PhamVanMinhBinhThuan/crypto-strategy-platform/blob/ef1ae919c06965895491868025dc8445deb46925/modules/search/src/main/java/com/cryptostrategy/platform/search/internal/StrategyGeneratorRegistry.java#L16
</t>
    </r>
    <r>
      <rPr>
        <rFont val="Carlito"/>
        <color rgb="FF1155CC"/>
        <sz val="10.0"/>
        <u/>
      </rPr>
      <t>https://github.com/PhamVanMinhBinhThuan/crypto-strategy-platform/blob/ef1ae919c06965895491868025dc8445deb46925/modules/news/src/main/java/com/cryptostrategy/platform/news/api/port/out/SentimentInferencePort.java#L7</t>
    </r>
  </si>
  <si>
    <t>Nhóm nâng cao</t>
  </si>
  <si>
    <t>Chức năng/ý tưởng</t>
  </si>
  <si>
    <t>Trong đề bài / mức tham chiếu</t>
  </si>
  <si>
    <t>Vấn đề cần giải quyết</t>
  </si>
  <si>
    <t>Nhóm đã triển khai cụ thể như thế nào?</t>
  </si>
  <si>
    <t>Vượt yêu cầu bắt buộc ở điểm nào?</t>
  </si>
  <si>
    <t>Module/Component liên quan</t>
  </si>
  <si>
    <t>Minh chứng code / commit / ADR / ảnh</t>
  </si>
  <si>
    <t>Kịch bản demo</t>
  </si>
  <si>
    <t>Kết quả đo lường / kiểm thử</t>
  </si>
  <si>
    <t>Đủ minh chứng?</t>
  </si>
  <si>
    <t>Scalability &amp; Performance</t>
  </si>
  <si>
    <t>Tự đánh giá (0–3)</t>
  </si>
  <si>
    <t>Giải thích/triển khai hướng mở rộng từ hàng trăm lên nhiều candidate; có queue/worker hoặc giải pháp tương đương khi phù hợp; có đo thời gian backtest.</t>
  </si>
  <si>
    <t>Giảng viên nhận xét / điểm cộng</t>
  </si>
  <si>
    <t>Search &amp; Optimization</t>
  </si>
  <si>
    <r>
      <rPr>
        <rFont val="Carlito"/>
        <color rgb="FF2563EB"/>
        <sz val="10.0"/>
        <u/>
      </rPr>
      <t xml:space="preserve">Scalability and performance
</t>
    </r>
    <r>
      <rPr>
        <rFont val="Carlito"/>
        <color rgb="FF1F1F1F"/>
        <sz val="10.0"/>
      </rPr>
      <t xml:space="preserve">ADR: 
https://github.com/PhamVanMinhBinhThuan/crypto-strategy-platform/blob/ef1ae919c06965895491868025dc8445deb46925/docs/adr/0006-queue-worker-backtesting.md#L29
https://github.com/PhamVanMinhBinhThuan/crypto-strategy-platform/blob/ef1ae919c06965895491868025dc8445deb46925/docs/adr/0006-queue-worker-backtesting.md#L247
https://github.com/PhamVanMinhBinhThuan/crypto-strategy-platform/blob/ef1ae919c06965895491868025dc8445deb46925/docs/adr/0016-search-coordinator-durable-orchestration.md#L20
 Architecture: 
https://github.com/PhamVanMinhBinhThuan/crypto-strategy-platform/blob/ef1ae919c06965895491868025dc8445deb46925/docs/architecture/quality-attributes.md#L70
https://github.com/PhamVanMinhBinhThuan/crypto-strategy-platform/blob/ef1ae919c06965895491868025dc8445deb46925/docs/architecture/container-view.md#L44
Implementation/Test:
https://github.com/PhamVanMinhBinhThuan/crypto-strategy-platform/blob/ef1ae919c06965895491868025dc8445deb46925/modules/experiment-execution/src/main/java/com/cryptostrategy/platform/execution/internal/SearchStartCommandFactoryService.java#L79
https://github.com/PhamVanMinhBinhThuan/crypto-strategy-platform/blob/ef1ae919c06965895491868025dc8445deb46925/modules/experiment-execution/src/main/java/com/cryptostrategy/platform/execution/internal/SearchStartCommandFactoryService.java#L103
</t>
    </r>
    <r>
      <rPr>
        <rFont val="Carlito"/>
        <color rgb="FF1155CC"/>
        <sz val="10.0"/>
        <u/>
      </rPr>
      <t>https://github.com/PhamVanMinhBinhThuan/crypto-strategy-platform/blob/ef1ae919c06965895491868025dc8445deb46925/docs/evidence/f014/performance.md#L3</t>
    </r>
  </si>
  <si>
    <t>Domain-guided Search</t>
  </si>
  <si>
    <t>Đề bài §17; Random Search là yêu cầu cơ bản, Domain-guided Search là phần vượt yêu cầu</t>
  </si>
  <si>
    <t>Giảm search vô nghĩa bằng domain knowledge; tách generator khỏi backtester.</t>
  </si>
  <si>
    <t>Đang làm</t>
  </si>
  <si>
    <t>Đã tách StrategyGenerator/registry, chuẩn hóa state + observations và dùng fixture generator để chứng minh thay thuật toán. Chưa có domain-guided generator production.</t>
  </si>
  <si>
    <t>Realtime &amp; Multi-timeframe</t>
  </si>
  <si>
    <t>Vượt ở nền tảng thay search algorithm; chưa vượt ở thuật toán Domain-guided thực tế.</t>
  </si>
  <si>
    <t>Realtime flow rõ ràng (stream/WebSocket); tối đa 4 chart, mỗi chart đổi timeframe độc lập; frontend không phụ thuộc trực tiếp schema Binance.</t>
  </si>
  <si>
    <t>modules/search; modules/experiment-execution; UI prototype</t>
  </si>
  <si>
    <t>https://github.com/PhamVanMinhBinhThuan/crypto-strategy-platform/blob/ef1ae919c06965895491868025dc8445deb46925/docs/adr/0010-strategy-generator-contract.md#L11 https://github.com/PhamVanMinhBinhThuan/crypto-strategy-platform/blob/ef1ae919c06965895491868025dc8445deb46925/docs/architecture/architecture-evidence.md#L51 https://github.com/PhamVanMinhBinhThuan/crypto-strategy-platform/blob/ef1ae919c06965895491868025dc8445deb46925/modules/search/src/main/java/com/cryptostrategy/platform/search/api/port/in/StrategyGenerator.java#L8 https://github.com/PhamVanMinhBinhThuan/crypto-strategy-platform/blob/ef1ae919c06965895491868025dc8445deb46925/modules/search/src/test/java/com/cryptostrategy/platform/search/internal/GeneratorReplaceabilityTest.java#L21</t>
  </si>
  <si>
    <t>Đổi Random bằng fixture generator, chạy cùng contract và xác nhận downstream không đổi.</t>
  </si>
  <si>
    <t>Replaceability/unit test có; chưa có đo chất lượng hoặc hiệu quả Domain-guided Search.</t>
  </si>
  <si>
    <r>
      <rPr>
        <rFont val="Carlito"/>
        <sz val="10.0"/>
      </rPr>
      <t xml:space="preserve">ADR: </t>
    </r>
    <r>
      <rPr>
        <rFont val="Carlito"/>
        <color rgb="FF000000"/>
        <sz val="10.0"/>
        <u/>
      </rPr>
      <t xml:space="preserve">https://github.com/PhamVanMinhBinhThuan/crypto-strategy-platform/blob/ef1ae919c06965895491868025dc8445deb46925/docs/adr/0004-websocket-realtime.md#L41
</t>
    </r>
    <r>
      <rPr>
        <rFont val="Carlito"/>
        <color rgb="FF000000"/>
        <sz val="10.0"/>
      </rPr>
      <t xml:space="preserve">
Architecture
</t>
    </r>
    <r>
      <rPr>
        <rFont val="Carlito"/>
        <color rgb="FF000000"/>
        <sz val="10.0"/>
        <u/>
      </rPr>
      <t xml:space="preserve">https://github.com/PhamVanMinhBinhThuan/crypto-strategy-platform/blob/ef1ae919c06965895491868025dc8445deb46925/docs/architecture/data-flows.md#L54
https://github.com/PhamVanMinhBinhThuan/crypto-strategy-platform/blob/ef1ae919c06965895491868025dc8445deb46925/docs/architecture/quality-attributes.md#L122
</t>
    </r>
  </si>
  <si>
    <t>Genetic Algorithm</t>
  </si>
  <si>
    <t>Đề bài §18 và §38 – phần mở rộng</t>
  </si>
  <si>
    <t>Reliability &amp; Observability</t>
  </si>
  <si>
    <t>Tìm tổ hợp/parameter hiệu quả hơn khi không gian search lớn.</t>
  </si>
  <si>
    <t>Có xử lý disconnect/retry/reconnect, lỗi worker/job; theo dõi trạng thái loop, số candidate, thời gian backtest, job lỗi, Top-1 hiện tại.</t>
  </si>
  <si>
    <r>
      <rPr>
        <rFont val="Carlito"/>
        <sz val="10.0"/>
      </rPr>
      <t xml:space="preserve">ADR:https://github.com/PhamVanMinhBinhThuan/crypto-strategy-platform/blob/ef1ae919c06965895491868025dc8445deb46925/docs/adr/0004-websocket-realtime.md#L157https://github.com/PhamVanMinhBinhThuan/crypto-strategy-platform/blob/ef1ae919c06965895491868025dc8445deb46925/docs/adr/0006-queue-worker-backtesting.md#L229https://github.com/PhamVanMinhBinhThuan/crypto-strategy-platform/blob/ef1ae919c06965895491868025dc8445deb46925/docs/adr/0007-postgresql-redis-ownership.md#L194Architecture:https://github.com/PhamVanMinhBinhThuan/crypto-strategy-platform/blob/ef1ae919c06965895491868025dc8445deb46925/docs/architecture/container-view.md#L79https://github.com/PhamVanMinhBinhThuan/crypto-strategy-platform/blob/ef1ae919c06965895491868025dc8445deb46925/docs/architecture/data-flows.md#L287Implementation/Test:https://github.com/PhamVanMinhBinhThuan/crypto-strategy-platform/blob/ef1ae919c06965895491868025dc8445deb46925/apps/web/src/foundation/realtime/reconnect-policy.ts#L1https://github.com/PhamVanMinhBinhThuan/crypto-strategy-platform/blob/ef1ae919c06965895491868025dc8445deb46925/apps/web/src/foundation/realtime/realtime-client.ts#L96
https://github.com/PhamVanMinhBinhThuan/crypto-strategy-platform/blob/ef1ae919c06965895491868025dc8445deb46925/apps/web/src/features/market/components/MarketDashboard.tsx#L90
https://github.com/PhamVanMinhBinhThuan/crypto-strategy-platform/blob/ef1ae919c06965895491868025dc8445deb46925/apps/web/tests/realtime/realtime-reconnect.test.ts#L1
https://github.com/PhamVanMinhBinhThuan/crypto-strategy-platform/blob/ef1ae919c06965895491868025dc8445deb46925/apps/web/tests/realtime/f013-subscription-lifecycle.test.tsx#L6
https://github.com/PhamVanMinhBinhThuan/crypto-strategy-platform/blob/ef1ae919c06965895491868025dc8445deb46925/docs/evidence/f014/failure-recovery.md#L10
</t>
    </r>
    <r>
      <rPr>
        <rFont val="Carlito"/>
        <color rgb="FF1155CC"/>
        <sz val="10.0"/>
        <u/>
      </rPr>
      <t>https://github.com/PhamVanMinhBinhThuan/crypto-strategy-platform/blob/ef1ae919c06965895491868025dc8445deb46925/docs/evidence/f014/failure-recovery.md#L18</t>
    </r>
  </si>
  <si>
    <t>Reproducibility &amp; Versioning</t>
  </si>
  <si>
    <t>Strategy/experiment có version; một kết quả leaderboard truy vết được dataset, timeframe, parameters, strategy version và trade result.</t>
  </si>
  <si>
    <t>Evolutionary Search</t>
  </si>
  <si>
    <t>Tiến hóa candidate qua nhiều vòng thay vì random độc lập.</t>
  </si>
  <si>
    <r>
      <rPr>
        <rFont val="Carlito"/>
        <sz val="10.0"/>
      </rPr>
      <t xml:space="preserve">ADR:
https://github.com/PhamVanMinhBinhThuan/crypto-strategy-platform/blob/ef1ae919c06965895491868025dc8445deb46925/docs/adr/0009-reproducible-experiments.md#L128
https://github.com/PhamVanMinhBinhThuan/crypto-strategy-platform/blob/ef1ae919c06965895491868025dc8445deb46925/docs/adr/0009-reproducible-experiments.md#L149
Architecture:
https://github.com/PhamVanMinhBinhThuan/crypto-strategy-platform/blob/ef1ae919c06965895491868025dc8445deb46925/docs/architecture/data-flows.md#L101
https://github.com/PhamVanMinhBinhThuan/crypto-strategy-platform/blob/ef1ae919c06965895491868025dc8445deb46925/docs/architecture/architecture-evidence.md#L91
Implementation/Test:
https://github.com/PhamVanMinhBinhThuan/crypto-strategy-platform/blob/ef1ae919c06965895491868025dc8445deb46925/modules/experiment/src/main/java/com/cryptostrategy/platform/experiment/api/ExperimentManifest.java#L1
https://github.com/PhamVanMinhBinhThuan/crypto-strategy-platform/blob/ef1ae919c06965895491868025dc8445deb46925/modules/strategy-core/src/main/java/com/cryptostrategy/platform/strategy/api/model/StrategyReference.java#L1
https://github.com/PhamVanMinhBinhThuan/crypto-strategy-platform/blob/ef1ae919c06965895491868025dc8445deb46925/apps/web/src/features/backtests/components/ResultEvidence.tsx#L4
https://github.com/PhamVanMinhBinhThuan/crypto-strategy-platform/blob/ef1ae919c06965895491868025dc8445deb46925/apps/web/src/features/backtests/components/ResultEvidence.tsx#L45
https://github.com/PhamVanMinhBinhThuan/crypto-strategy-platform/blob/ef1ae919c06965895491868025dc8445deb46925/apps/web/src/features/backtests/components/ResultEvidence.tsx#L105
</t>
    </r>
    <r>
      <rPr>
        <rFont val="Carlito"/>
        <color rgb="FF1155CC"/>
        <sz val="10.0"/>
        <u/>
      </rPr>
      <t>https://github.com/PhamVanMinhBinhThuan/crypto-strategy-platform/blob/ef1ae919c06965895491868025dc8445deb46925/docs/evidence/f014/reproduction.md#L42</t>
    </r>
  </si>
  <si>
    <t>B. Chức năng yêu cầu</t>
  </si>
  <si>
    <t>Market Data &amp; Candlestick</t>
  </si>
  <si>
    <t>Lấy historical + realtime data từ Binance; candlestick/volume hiển thị đúng; cập nhật liên tục và ổn định.</t>
  </si>
  <si>
    <t>Bayesian Optimization</t>
  </si>
  <si>
    <t>Tối ưu parameter với số lần backtest hạn chế.</t>
  </si>
  <si>
    <t>ADR:
https://github.com/PhamVanMinhBinhThuan/crypto-strategy-platform/blob/ef1ae919c06965895491868025dc8445deb46925/docs/adr/0003-market-data-adapter.md#L29
https://github.com/PhamVanMinhBinhThuan/crypto-strategy-platform/blob/ef1ae919c06965895491868025dc8445deb46925/docs/adr/0004-websocket-realtime.md#L23
Architecture:
https://github.com/PhamVanMinhBinhThuan/crypto-strategy-platform/blob/ef1ae919c06965895491868025dc8445deb46925/docs/architecture/data-flows.md#L11
https://github.com/PhamVanMinhBinhThuan/crypto-strategy-platform/blob/ef1ae919c06965895491868025dc8445deb46925/docs/architecture/data-flows.md#L51
Implementation/Test:
https://github.com/PhamVanMinhBinhThuan/crypto-strategy-platform/blob/ef1ae919c06965895491868025dc8445deb46925/modules/market-data/src/main/java/com/cryptostrategy/platform/marketdata/internal/provider/binance/BinanceHistoricalProvider.java#L20
https://github.com/PhamVanMinhBinhThuan/crypto-strategy-platform/blob/ef1ae919c06965895491868025dc8445deb46925/modules/market-data/src/main/java/com/cryptostrategy/platform/marketdata/internal/provider/binance/BinanceStreamProvider.java#L21
https://github.com/PhamVanMinhBinhThuan/crypto-strategy-platform/blob/ef1ae919c06965895491868025dc8445deb46925/apps/web/src/features/market/components/MarketDashboard.tsx#L41
https://github.com/PhamVanMinhBinhThuan/crypto-strategy-platform/blob/ef1ae919c06965895491868025dc8445deb46925/apps/web/src/features/market/components/MarketDashboard.tsx#L90
https://github.com/PhamVanMinhBinhThuan/crypto-strategy-platform/blob/ef1ae919c06965895491868025dc8445deb46925/apps/web/src/features/market/components/CandleChart.tsx#L19
https://github.com/PhamVanMinhBinhThuan/crypto-strategy-platform/blob/ef1ae919c06965895491868025dc8445deb46925/apps/web/src/features/market/components/CandleChart.tsx#L36</t>
  </si>
  <si>
    <t>Strategy Engine ≥ 4 strategy</t>
  </si>
  <si>
    <t>Có ít nhất 4 strategy đơn lẻ (ví dụ MA, RSI, Bollinger, Support/Resistance) theo một contract tín hiệu chuẩn BUY/SELL/HOLD hoặc tương đương.</t>
  </si>
  <si>
    <t>Reinforcement Learning cho search</t>
  </si>
  <si>
    <t>Đề bài §18 – phần mở rộng</t>
  </si>
  <si>
    <r>
      <rPr>
        <rFont val="Carlito"/>
        <sz val="10.0"/>
      </rPr>
      <t xml:space="preserve">ADR:
https://github.com/PhamVanMinhBinhThuan/crypto-strategy-platform/blob/ef1ae919c06965895491868025dc8445deb46925/docs/adr/0005-strategy-plugin-registry.md#L34
https://github.com/PhamVanMinhBinhThuan/crypto-strategy-platform/blob/ef1ae919c06965895491868025dc8445deb46925/docs/adr/0005-strategy-plugin-registry.md#L155
Architecture: 
https://github.com/PhamVanMinhBinhThuan/crypto-strategy-platform/blob/ef1ae919c06965895491868025dc8445deb46925/docs/architecture/module-view.md#L59
https://github.com/PhamVanMinhBinhThuan/crypto-strategy-platform/blob/ef1ae919c06965895491868025dc8445deb46925/docs/architecture/data-flows.md#L91
Implementation/Test:
https://github.com/PhamVanMinhBinhThuan/crypto-strategy-platform/blob/ef1ae919c06965895491868025dc8445deb46925/modules/strategies/src/main/java/com/cryptostrategy/platform/strategies/api/StrategyPlugins.java#L15
https://github.com/PhamVanMinhBinhThuan/crypto-strategy-platform/blob/ef1ae919c06965895491868025dc8445deb46925/modules/strategy-core/src/main/java/com/cryptostrategy/platform/strategy/api/model/StrategySignal.java#L2
</t>
    </r>
    <r>
      <rPr>
        <rFont val="Carlito"/>
        <color rgb="FF1155CC"/>
        <sz val="10.0"/>
        <u/>
      </rPr>
      <t>https://github.com/PhamVanMinhBinhThuan/crypto-strategy-platform/blob/ef1ae919c06965895491868025dc8445deb46925/docs/evidence/f014/foundation-gates.md#L31</t>
    </r>
  </si>
  <si>
    <t>Học chính sách tạo/chọn strategy candidate từ feedback evaluation.</t>
  </si>
  <si>
    <t>LLM-generated Strategy</t>
  </si>
  <si>
    <t>Đề bài §18 / §38 – phần mở rộng</t>
  </si>
  <si>
    <t>Dùng LLM đề xuất strategy/parameter/rule nhưng vẫn phải qua pipeline backtest-evaluate-rank.</t>
  </si>
  <si>
    <t>Composite Strategy</t>
  </si>
  <si>
    <t>Kết hợp được nhiều strategy; có quy tắc xử lý xung đột (majority vote, weighted combination hoặc phương pháp khác) và giải thích được.</t>
  </si>
  <si>
    <t>ADR:
https://github.com/PhamVanMinhBinhThuan/crypto-strategy-platform/blob/ef1ae919c06965895491868025dc8445deb46925/docs/adr/0005-strategy-plugin-registry.md#L215
https://github.com/PhamVanMinhBinhThuan/crypto-strategy-platform/blob/ef1ae919c06965895491868025dc8445deb46925/docs/adr/0009-reproducible-experiments.md#L134
Architecture:
https://github.com/PhamVanMinhBinhThuan/crypto-strategy-platform/blob/ef1ae919c06965895491868025dc8445deb46925/docs/architecture/data-flows.md#L91
Implementation/Test:
https://github.com/PhamVanMinhBinhThuan/crypto-strategy-platform/blob/ef1ae919c06965895491868025dc8445deb46925/modules/combination/src/main/java/com/cryptostrategy/platform/combination/internal/CompositeStrategy.java#L11
https://github.com/PhamVanMinhBinhThuan/crypto-strategy-platform/blob/ef1ae919c06965895491868025dc8445deb46925/modules/combination/src/main/java/com/cryptostrategy/platform/combination/internal/MajorityVotePolicy.java#L8
https://github.com/PhamVanMinhBinhThuan/crypto-strategy-platform/blob/ef1ae919c06965895491868025dc8445deb46925/modules/combination/src/main/java/com/cryptostrategy/platform/combination/internal/MajorityVotePolicy.java#L20
https://github.com/PhamVanMinhBinhThuan/crypto-strategy-platform/blob/ef1ae919c06965895491868025dc8445deb46925/modules/combination/src/test/java/com/cryptostrategy/platform/combination/internal/MajorityVotePolicyTest.java#L9</t>
  </si>
  <si>
    <t>Backtesting Engine</t>
  </si>
  <si>
    <t>Giả lập giao dịch trên historical data; sinh được entry/exit/trades; tách backtest khỏi strategy implementation.</t>
  </si>
  <si>
    <t>Agent-based Search</t>
  </si>
  <si>
    <t>Tổ chức agent tạo–kiểm tra–cải thiện candidate theo loop có kiểm soát.</t>
  </si>
  <si>
    <r>
      <rPr>
        <rFont val="Carlito"/>
        <sz val="10.0"/>
      </rPr>
      <t xml:space="preserve">ADR:
https://github.com/PhamVanMinhBinhThuan/crypto-strategy-platform/blob/ef1ae919c06965895491868025dc8445deb46925/docs/adr/0006-queue-worker-backtesting.md#L9
https://github.com/PhamVanMinhBinhThuan/crypto-strategy-platform/blob/ef1ae919c06965895491868025dc8445deb46925/docs/adr/0013-backtest-execution-integration.md#L11
https://github.com/PhamVanMinhBinhThuan/crypto-strategy-platform/blob/ef1ae919c06965895491868025dc8445deb46925/docs/adr/0015-standalone-backtest-aggregate.md#L17
Architecture: 
https://github.com/PhamVanMinhBinhThuan/crypto-strategy-platform/blob/ef1ae919c06965895491868025dc8445deb46925/docs/architecture/data-flows.md#L91
Implementation/Test: 
https://github.com/PhamVanMinhBinhThuan/crypto-strategy-platform/blob/ef1ae919c06965895491868025dc8445deb46925/modules/backtesting/src/main/java/com/cryptostrategy/platform/backtesting/api/port/in/RunBacktestUseCase.java#L3
https://github.com/PhamVanMinhBinhThuan/crypto-strategy-platform/blob/ef1ae919c06965895491868025dc8445deb46925/modules/backtesting/src/main/java/com/cryptostrategy/platform/backtesting/internal/DeterministicBacktestEngine.java#L15
https://github.com/PhamVanMinhBinhThuan/crypto-strategy-platform/blob/ef1ae919c06965895491868025dc8445deb46925/modules/backtesting/src/main/java/com/cryptostrategy/platform/backtesting/api/model/Trade.java#L5
</t>
    </r>
    <r>
      <rPr>
        <rFont val="Carlito"/>
        <color rgb="FF1155CC"/>
        <sz val="10.0"/>
        <u/>
      </rPr>
      <t>https://github.com/PhamVanMinhBinhThuan/crypto-strategy-platform/blob/ef1ae919c06965895491868025dc8445deb46925/modules/backtesting/src/test/java/com/cryptostrategy/platform/backtesting/internal/DeterministicBacktestEngineTest.java#L5</t>
    </r>
  </si>
  <si>
    <t>AlphaEvolve-style Optimization</t>
  </si>
  <si>
    <t>Tạo–đánh giá–giữ candidate tốt–biến đổi candidate theo vòng lặp.</t>
  </si>
  <si>
    <t>Strategy Evaluation</t>
  </si>
  <si>
    <t>Tối thiểu có Return, Win Rate, Max Drawdown, Number of Trades; nên có Profit Factor/Sharpe; evaluator tách riêng.</t>
  </si>
  <si>
    <r>
      <rPr>
        <rFont val="Carlito"/>
        <sz val="10.0"/>
      </rPr>
      <t xml:space="preserve">ADR:
https://github.com/PhamVanMinhBinhThuan/crypto-strategy-platform/blob/ef1ae919c06965895491868025dc8445deb46925/docs/adr/0009-reproducible-experiments.md#L195
https://github.com/PhamVanMinhBinhThuan/crypto-strategy-platform/blob/ef1ae919c06965895491868025dc8445deb46925/docs/adr/0007-postgresql-redis-ownership.md#L55
Architecture: 
https://github.com/PhamVanMinhBinhThuan/crypto-strategy-platform/blob/ef1ae919c06965895491868025dc8445deb46925/docs/architecture/data-flows.md#L91
https://github.com/PhamVanMinhBinhThuan/crypto-strategy-platform/blob/ef1ae919c06965895491868025dc8445deb46925/docs/architecture/module-view.md#L59
 Implementation/Test:
https://github.com/PhamVanMinhBinhThuan/crypto-strategy-platform/blob/ef1ae919c06965895491868025dc8445deb46925/modules/evaluation/src/main/java/com/cryptostrategy/platform/evaluation/internal/MetricCalculator.java#L3
https://github.com/PhamVanMinhBinhThuan/crypto-strategy-platform/blob/ef1ae919c06965895491868025dc8445deb46925/modules/evaluation/src/main/java/com/cryptostrategy/platform/evaluation/internal/DeterministicEvaluator.java#L3
</t>
    </r>
    <r>
      <rPr>
        <rFont val="Carlito"/>
        <color rgb="FF1155CC"/>
        <sz val="10.0"/>
        <u/>
      </rPr>
      <t>https://github.com/PhamVanMinhBinhThuan/crypto-strategy-platform/blob/ef1ae919c06965895491868025dc8445deb46925/apps/web/src/features/backtests/components/ResultSummary.tsx#L7</t>
    </r>
  </si>
  <si>
    <t>Loop Engineering</t>
  </si>
  <si>
    <t>Thiết kế vòng Generate → Execute → Measure → Rank → Improve có stop condition và trace.</t>
  </si>
  <si>
    <t>Hoàn thành &amp; demo được</t>
  </si>
  <si>
    <t>Đã có vòng Generate → Backtest → Evaluate → Rank, bounded in-flight, stop condition, durable decision/fencing, recovery và deterministic Top-K/reproduction.</t>
  </si>
  <si>
    <t>Vượt Random Search tối thiểu ở orchestration bền vững, trace và phục hồi sau lỗi.</t>
  </si>
  <si>
    <t>modules/search; modules/experiment-execution; apps/worker; leaderboard</t>
  </si>
  <si>
    <t>https://github.com/PhamVanMinhBinhThuan/crypto-strategy-platform/blob/ef1ae919c06965895491868025dc8445deb46925/docs/adr/0016-search-coordinator-durable-orchestration.md#L18 https://github.com/PhamVanMinhBinhThuan/crypto-strategy-platform/blob/ef1ae919c06965895491868025dc8445deb46925/docs/architecture/data-flows.md https://github.com/PhamVanMinhBinhThuan/crypto-strategy-platform/blob/ef1ae919c06965895491868025dc8445deb46925/apps/worker/src/main/java/com/cryptostrategy/platform/worker/search/coordination/SearchCoordinator.java#L17 https://github.com/PhamVanMinhBinhThuan/crypto-strategy-platform/blob/ef1ae919c06965895491868025dc8445deb46925/docs/evidence/f014/advanced-evidence.md#L35</t>
  </si>
  <si>
    <t>Chạy search có maxCandidates; theo dõi progress/Top-K, dừng Worker giữa chừng rồi khởi động lại để kiểm tra resume.</t>
  </si>
  <si>
    <t>Các test orchestration/recovery đã có; chưa có live run và measurement so với baseline nên chưa đủ claim nâng cao.</t>
  </si>
  <si>
    <t>Trading</t>
  </si>
  <si>
    <t>Strategy Search &amp; Stop Condition</t>
  </si>
  <si>
    <t>Long / Short</t>
  </si>
  <si>
    <t>Có ít nhất Random Search; generate → backtest → evaluate → rank; có điều kiện dừng rõ (số candidate/thời gian/no-improvement).</t>
  </si>
  <si>
    <t>Đề bài §38 – phần mở rộng</t>
  </si>
  <si>
    <t>Mở rộng mô hình giao dịch vượt Buy/Sell cơ bản, hỗ trợ vị thế hai chiều.</t>
  </si>
  <si>
    <r>
      <rPr>
        <rFont val="Carlito"/>
        <sz val="10.0"/>
      </rPr>
      <t xml:space="preserve">ADR:
https://github.com/PhamVanMinhBinhThuan/crypto-strategy-platform/blob/ef1ae919c06965895491868025dc8445deb46925/docs/adr/0010-strategy-generator-contract.md#L120
https://github.com/PhamVanMinhBinhThuan/crypto-strategy-platform/blob/ef1ae919c06965895491868025dc8445deb46925/docs/adr/0010-strategy-generator-contract.md#L124
https://github.com/PhamVanMinhBinhThuan/crypto-strategy-platform/blob/ef1ae919c06965895491868025dc8445deb46925/docs/adr/0016-search-coordinator-durable-orchestration.md#L20
Architecture: 
https://github.com/PhamVanMinhBinhThuan/crypto-strategy-platform/blob/ef1ae919c06965895491868025dc8445deb46925/docs/architecture/data-flows.md#L117
https://github.com/PhamVanMinhBinhThuan/crypto-strategy-platform/blob/ef1ae919c06965895491868025dc8445deb46925/docs/architecture/quality-attributes.md#L37
Implementation/Test:
https://github.com/PhamVanMinhBinhThuan/crypto-strategy-platform/blob/ef1ae919c06965895491868025dc8445deb46925/modules/search/src/main/java/com/cryptostrategy/platform/search/internal/RandomStrategyGenerator.java#L26
https://github.com/PhamVanMinhBinhThuan/crypto-strategy-platform/blob/ef1ae919c06965895491868025dc8445deb46925/modules/search/src/main/java/com/cryptostrategy/platform/search/internal/RandomStrategyGenerator.java#L32
https://github.com/PhamVanMinhBinhThuan/crypto-strategy-platform/blob/ef1ae919c06965895491868025dc8445deb46925/modules/experiment-execution/src/main/java/com/cryptostrategy/platform/execution/internal/SearchStartCommandFactoryService.java#L74
</t>
    </r>
    <r>
      <rPr>
        <rFont val="Carlito"/>
        <color rgb="FF1155CC"/>
        <sz val="10.0"/>
        <u/>
      </rPr>
      <t>https://github.com/PhamVanMinhBinhThuan/crypto-strategy-platform/blob/ef1ae919c06965895491868025dc8445deb46925/modules/experiment-execution/src/main/java/com/cryptostrategy/platform/execution/internal/TrustedSearchCoordinationService.java#L63</t>
    </r>
  </si>
  <si>
    <t>Stop Loss</t>
  </si>
  <si>
    <t>Quản lý rủi ro ở mức trade; backtester cần mô phỏng rule thoát lệnh.</t>
  </si>
  <si>
    <t>Leaderboard Top-K</t>
  </si>
  <si>
    <t>Hiển thị Top-K strategy; rank/sort theo metric hoặc overall score; candidate mới có thể cập nhật leaderboard.</t>
  </si>
  <si>
    <t>Take Profit</t>
  </si>
  <si>
    <t>ADR:
https://github.com/PhamVanMinhBinhThuan/crypto-strategy-platform/blob/ef1ae919c06965895491868025dc8445deb46925/docs/adr/0007-postgresql-redis-ownership.md#L168
https://github.com/PhamVanMinhBinhThuan/crypto-strategy-platform/blob/ef1ae919c06965895491868025dc8445deb46925/docs/adr/0009-reproducible-experiments.md#L195
Architecture:
https://github.com/PhamVanMinhBinhThuan/crypto-strategy-platform/blob/ef1ae919c06965895491868025dc8445deb46925/docs/architecture/data-flows.md#L117
https://github.com/PhamVanMinhBinhThuan/crypto-strategy-platform/blob/ef1ae919c06965895491868025dc8445deb46925/docs/architecture/data-model-overview.md#L116
Implementation/Test:
https://github.com/PhamVanMinhBinhThuan/crypto-strategy-platform/blob/ef1ae919c06965895491868025dc8445deb46925/apps/web/src/features/leaderboard/hooks/useLeaderboard.ts#L11
https://github.com/PhamVanMinhBinhThuan/crypto-strategy-platform/blob/ef1ae919c06965895491868025dc8445deb46925/apps/web/src/features/leaderboard/hooks/useLeaderboardRealtime.ts#L53
https://github.com/PhamVanMinhBinhThuan/crypto-strategy-platform/blob/ef1ae919c06965895491868025dc8445deb46925/apps/web/tests/features/leaderboard/leaderboard-table.test.tsx#L1
https://github.com/PhamVanMinhBinhThuan/crypto-strategy-platform/blob/ef1ae919c06965895491868025dc8445deb46925/apps/web/tests/features/leaderboard/leaderboard-controls.test.tsx#L1</t>
  </si>
  <si>
    <t>Mô phỏng rule chốt lời và ảnh hưởng đến kết quả backtest.</t>
  </si>
  <si>
    <t>Visualization Strategy &amp; Trade</t>
  </si>
  <si>
    <t>Chart hiển thị Buy/Sell, Entry/Exit và indicator/zone liên quan; xem được trade detail và highlight giao dịch.</t>
  </si>
  <si>
    <r>
      <rPr>
        <rFont val="Carlito"/>
        <sz val="10.0"/>
      </rPr>
      <t xml:space="preserve">ADR:
https://github.com/PhamVanMinhBinhThuan/crypto-strategy-platform/blob/ef1ae919c06965895491868025dc8445deb46925/docs/adr/0009-reproducible-experiments.md#L306
https://github.com/PhamVanMinhBinhThuan/crypto-strategy-platform/blob/ef1ae919c06965895491868025dc8445deb46925/docs/adr/0005-strategy-plugin-registry.md#L94
Architecture: 
https://github.com/PhamVanMinhBinhThuan/crypto-strategy-platform/blob/ef1ae919c06965895491868025dc8445deb46925/docs/architecture/data-flows.md#L91
Implementation/Test:
https://github.com/PhamVanMinhBinhThuan/crypto-strategy-platform/blob/ef1ae919c06965895491868025dc8445deb46925/apps/web/src/features/backtests/components/TradeHistory.tsx#L2
https://github.com/PhamVanMinhBinhThuan/crypto-strategy-platform/blob/ef1ae919c06965895491868025dc8445deb46925/apps/web/src/features/backtests/components/TradeHistory.tsx#L17
</t>
    </r>
    <r>
      <rPr>
        <rFont val="Carlito"/>
        <color rgb="FF1155CC"/>
        <sz val="10.0"/>
        <u/>
      </rPr>
      <t>https://github.com/PhamVanMinhBinhThuan/crypto-strategy-platform/blob/ef1ae919c06965895491868025dc8445deb46925/apps/web/src/features/backtests/components/BacktestResultsView.tsx#L62</t>
    </r>
  </si>
  <si>
    <t>Trailing Stop</t>
  </si>
  <si>
    <t>Rule thoát lệnh động theo biến động giá, phức tạp hơn stop cố định.</t>
  </si>
  <si>
    <t>Position Sizing</t>
  </si>
  <si>
    <t>News Collector</t>
  </si>
  <si>
    <t>Có pipeline collect → normalize → store; provider abstraction; NewsItem có các trường chính như title, content/source, publishedAt, relatedCoins, url.</t>
  </si>
  <si>
    <t>Quyết định kích thước vị thế thay vì giả định mỗi trade có cùng quy mô.</t>
  </si>
  <si>
    <r>
      <rPr>
        <rFont val="Carlito"/>
        <color rgb="FF2563EB"/>
        <sz val="10.0"/>
        <u/>
      </rPr>
      <t xml:space="preserve">ADR: 
https://github.com/PhamVanMinhBinhThuan/crypto-strategy-platform/blob/ef1ae919c06965895491868025dc8445deb46925/docs/adr/0005-strategy-plugin-registry.md#L155
</t>
    </r>
    <r>
      <rPr>
        <rFont val="Carlito"/>
        <color rgb="FF1155CC"/>
        <sz val="10.0"/>
        <u/>
      </rPr>
      <t xml:space="preserve">https://github.com/PhamVanMinhBinhThuan/crypto-strategy-platform/blob/ef1ae919c06965895491868025dc8445deb46925/docs/adr/0005-strategy-plugin-registry.md#L184
</t>
    </r>
    <r>
      <rPr>
        <rFont val="Carlito"/>
        <sz val="10.0"/>
      </rPr>
      <t xml:space="preserve">Architecture:
https://github.com/PhamVanMinhBinhThuan/crypto-strategy-platform/blob/ef1ae919c06965895491868025dc8445deb46925/docs/architecture/data-flows.md#L186
https://github.com/PhamVanMinhBinhThuan/crypto-strategy-platform/blob/ef1ae919c06965895491868025dc8445deb46925/docs/architecture/module-view.md#L59
Implementation/Test: 
https://github.com/PhamVanMinhBinhThuan/crypto-strategy-platform/blob/ef1ae919c06965895491868025dc8445deb46925/modules/news/src/main/java/com/cryptostrategy/platform/news/api/port/out/NewsProvider.java#L8
https://github.com/PhamVanMinhBinhThuan/crypto-strategy-platform/blob/ef1ae919c06965895491868025dc8445deb46925/modules/news/src/main/java/com/cryptostrategy/platform/news/internal/provider/rss/RssNewsProvider.java#L13
https://github.com/PhamVanMinhBinhThuan/crypto-strategy-platform/blob/ef1ae919c06965895491868025dc8445deb46925/modules/news/src/main/java/com/cryptostrategy/platform/news/internal/application/NewsCollectionService.java#L13
https://github.com/PhamVanMinhBinhThuan/crypto-strategy-platform/blob/ef1ae919c06965895491868025dc8445deb46925/modules/news/src/main/java/com/cryptostrategy/platform/news/internal/normalization/CanonicalNewsNormalizer.java#L17
https://github.com/PhamVanMinhBinhThuan/crypto-strategy-platform/blob/ef1ae919c06965895491868025dc8445deb46925/modules/news/src/main/java/com/cryptostrategy/platform/news/api/model/ProviderNewsItem.java#L7
</t>
    </r>
    <r>
      <rPr>
        <rFont val="Carlito"/>
        <color rgb="FF1155CC"/>
        <sz val="10.0"/>
        <u/>
      </rPr>
      <t>https://github.com/PhamVanMinhBinhThuan/crypto-strategy-platform/blob/ef1ae919c06965895491868025dc8445deb46925/modules/news/src/main/java/com/cryptostrategy/platform/news/api/model/NewsItem.java#L10</t>
    </r>
  </si>
  <si>
    <t>Market</t>
  </si>
  <si>
    <t>Multiple Coins</t>
  </si>
  <si>
    <t>Mở rộng từ một pair sang nhiều coin/pair mà không hard-code luồng xử lý.</t>
  </si>
  <si>
    <t>Sentiment Analysis</t>
  </si>
  <si>
    <t>Phân tích POSITIVE/NEUTRAL/NEGATIVE (hoặc score tương đương); kết quả lưu được; có thể tích hợp sentiment thành strategy nếu nhóm triển khai.</t>
  </si>
  <si>
    <t>https://www.kaggle.com/code/vandangnghi/notebook3a507ebd17</t>
  </si>
  <si>
    <t>Multiple Exchanges</t>
  </si>
  <si>
    <t>Đề bài §38; liên quan Adapter ở §4</t>
  </si>
  <si>
    <t>Thêm OKX/Bybit/Coinbase... qua abstraction/provider mà frontend và core ít thay đổi.</t>
  </si>
  <si>
    <t>Đã có MarketDataProvider trung lập, Binance adapter và fixture adapter. Chưa có adapter cho exchange thật thứ hai.</t>
  </si>
  <si>
    <t>Mới chứng minh khả năng thay provider, chưa đạt chức năng Multiple Exchanges hoàn chỉnh.</t>
  </si>
  <si>
    <t>modules/market-data; apps/api realtime; apps/web market</t>
  </si>
  <si>
    <t>https://github.com/PhamVanMinhBinhThuan/crypto-strategy-platform/blob/ef1ae919c06965895491868025dc8445deb46925/docs/adr/0003-market-data-adapter.md#L27 https://github.com/PhamVanMinhBinhThuan/crypto-strategy-platform/blob/ef1ae919c06965895491868025dc8445deb46925/docs/architecture/module-view.md https://github.com/PhamVanMinhBinhThuan/crypto-strategy-platform/blob/ef1ae919c06965895491868025dc8445deb46925/modules/market-data/src/main/java/com/cryptostrategy/platform/marketdata/api/port/out/MarketDataProvider.java https://github.com/PhamVanMinhBinhThuan/crypto-strategy-platform/blob/ef1ae919c06965895491868025dc8445deb46925/modules/market-data/src/test/java/com/cryptostrategy/platform/marketdata/internal/provider/binance/BinanceHistoricalProviderTest.java#L28</t>
  </si>
  <si>
    <t>Chuyển cấu hình Binance sang fixture adapter và xác nhận API/UI contract không đổi.</t>
  </si>
  <si>
    <t>Có contract/unit test cho Binance và fixture; chưa có test với OKX/Bybit/Coinbase.</t>
  </si>
  <si>
    <t>Dùng output của notebook tạo thành một hệ thống python sentiment độc lập để phân tích kết quả</t>
  </si>
  <si>
    <t>Machine Learning</t>
  </si>
  <si>
    <t>Sentiment mở rộng</t>
  </si>
  <si>
    <t>C. Hồ sơ &amp; tài liệu</t>
  </si>
  <si>
    <t>Đề bài đã yêu cầu collect/store/analyze sentiment; chỉ xem là mở rộng khi nhóm triển khai thêm, ví dụ tích hợp sentiment thành Strategy hoặc có đánh giá/thay thế mô hình rõ ràng.</t>
  </si>
  <si>
    <t>Chỉ nên khai điểm cộng nếu vượt pipeline sentiment cơ bản, ví dụ tích hợp thành Strategy hoặc có đánh giá/thay model rõ ràng.</t>
  </si>
  <si>
    <t>Source code + README</t>
  </si>
  <si>
    <t>Repository hoàn chỉnh; README có Install, Run, Architecture, Demo; nếu private phải cấp quyền cho giảng viên.</t>
  </si>
  <si>
    <t>Đã tách Python/FastAPI inference service, đóng gói Keras model + vocabulary/manifest checksum, model version, readiness; Worker có timeout/retry/circuit breaker.</t>
  </si>
  <si>
    <t>Vượt pipeline sentiment cơ bản ở versioning, failure isolation và khả năng thay model; chưa tích hợp thành Strategy hay so sánh chất lượng model.</t>
  </si>
  <si>
    <t>apps/sentiment; apps/worker news/sentiment; news-intelligence</t>
  </si>
  <si>
    <t>https://github.com/PhamVanMinhBinhThuan/crypto-strategy-platform/blob/ef1ae919c06965895491868025dc8445deb46925/docs/adr/0008-sentiment-service-boundary.md#L32 https://github.com/PhamVanMinhBinhThuan/crypto-strategy-platform/blob/ef1ae919c06965895491868025dc8445deb46925/docs/architecture/container-view.md#L25 https://github.com/PhamVanMinhBinhThuan/crypto-strategy-platform/blob/ef1ae919c06965895491868025dc8445deb46925/apps/sentiment/app/model/runtime.py https://github.com/PhamVanMinhBinhThuan/crypto-strategy-platform/blob/ef1ae919c06965895491868025dc8445deb46925/apps/sentiment/tests/unit/test_model_runtime.py https://github.com/PhamVanMinhBinhThuan/crypto-strategy-platform/blob/ef1ae919c06965895491868025dc8445deb46925/docs/evidence/f014/failure-recovery.md#L80</t>
  </si>
  <si>
    <t>Khởi động TensorFlow runtime, gọi inference; đổi model version và mô phỏng timeout để quan sát readiness/retry/circuit breaker.</t>
  </si>
  <si>
    <t>Python/Java tests có; dry run chưa có external TensorFlow READY, inference/replacement demo hoặc quality/latency measurement.</t>
  </si>
  <si>
    <r>
      <rPr>
        <rFont val="Carlito"/>
        <color rgb="FF2563EB"/>
        <sz val="10.0"/>
        <u/>
      </rPr>
      <t xml:space="preserve">ADR:
https://github.com/PhamVanMinhBinhThuan/crypto-strategy-platform/blob/ef1ae919c06965895491868025dc8445deb46925/docs/adr/README.md
Architecture: 
https://github.com/PhamVanMinhBinhThuan/crypto-strategy-platform/blob/ef1ae919c06965895491868025dc8445deb46925/docs/architecture/README.md
Implementation/Run:
https://github.com/PhamVanMinhBinhThuan/crypto-strategy-platform/blob/ef1ae919c06965895491868025dc8445deb46925/README.md
https://github.com/PhamVanMinhBinhThuan/crypto-strategy-platform/blob/ef1ae919c06965895491868025dc8445deb46925/README.md#L268
ob/ef1ae919c06965895491868025dc8445deb46925/README.md#L297
</t>
    </r>
    <r>
      <rPr>
        <rFont val="Carlito"/>
        <color rgb="FF1155CC"/>
        <sz val="10.0"/>
        <u/>
      </rPr>
      <t>https://github.com/PhamVanMinhBinhThuan/crypto-strategy-platform/blob/ef1ae919c06965895491868025dc8445deb46925/README.md#L347</t>
    </r>
  </si>
  <si>
    <t>Có</t>
  </si>
  <si>
    <t>Price Prediction</t>
  </si>
  <si>
    <t>Thêm mô hình dự báo giá/tín hiệu như một service/strategy mà không phá kiến trúc hiện có.</t>
  </si>
  <si>
    <t>Architecture Document</t>
  </si>
  <si>
    <t>Có System Context, module/container decomposition, component responsibilities, Data Flow, Realtime Flow, Strategy Flow, Search/Backtest Flow.</t>
  </si>
  <si>
    <t>Market Regime Detection</t>
  </si>
  <si>
    <r>
      <rPr>
        <rFont val="Carlito"/>
        <sz val="10.0"/>
      </rPr>
      <t xml:space="preserve">ADR:
https://github.com/PhamVanMinhBinhThuan/crypto-strategy-platform/blob/ef1ae919c06965895491868025dc8445deb46925/docs/adr/0002-module-boundaries.md
https://github.com/PhamVanMinhBinhThuan/crypto-strategy-platform/blob/ef1ae919c06965895491868025dc8445deb46925/docs/adr/0007-postgresql-redis-ownership.md
Architecture:
https://github.com/PhamVanMinhBinhThuan/crypto-strategy-platform/blob/ef1ae919c06965895491868025dc8445deb46925/docs/architecture/README.md
https://github.com/PhamVanMinhBinhThuan/crypto-strategy-platform/blob/ef1ae919c06965895491868025dc8445deb46925/docs/architecture/system-context.md
https://github.com/PhamVanMinhBinhThuan/crypto-strategy-platform/blob/ef1ae919c06965895491868025dc8445deb46925/docs/architecture/container-view.md
https://github.com/PhamVanMinhBinhThuan/crypto-strategy-platform/blob/ef1ae919c06965895491868025dc8445deb46925/docs/architecture/module-view.md
https://github.com/PhamVanMinhBinhThuan/crypto-strategy-platform/blob/ef1ae919c06965895491868025dc8445deb46925/docs/architecture/data-flows.md
https://github.com/PhamVanMinhBinhThuan/crypto-strategy-platform/blob/ef1ae919c06965895491868025dc8445deb46925/docs/architecture/data-model-overview.md
Implementation/Test: 
https://github.com/PhamVanMinhBinhThuan/crypto-strategy-platform/blob/ef1ae919c06965895491868025dc8445deb46925/docs/architecture/architecture-evidence.md#L46
</t>
    </r>
    <r>
      <rPr>
        <rFont val="Carlito"/>
        <color rgb="FF1155CC"/>
        <sz val="10.0"/>
        <u/>
      </rPr>
      <t>https://github.com/PhamVanMinhBinhThuan/crypto-strategy-platform/blob/ef1ae919c06965895491868025dc8445deb46925/docs/evidence/f014/foundation-gates.md#L29</t>
    </r>
  </si>
  <si>
    <t>Nhận diện trend/range/volatility regime để hỗ trợ chọn/kết hợp strategy.</t>
  </si>
  <si>
    <t>Architectural Decision Records (ADR)</t>
  </si>
  <si>
    <t>Có các quyết định chính và lý do: WebSocket/stream, plugin architecture, queue/worker, tách Sentiment Service... hoặc ADR tương đương.</t>
  </si>
  <si>
    <t>Architecture / Infrastructure</t>
  </si>
  <si>
    <t>Redis</t>
  </si>
  <si>
    <r>
      <rPr>
        <rFont val="Carlito"/>
        <sz val="10.0"/>
      </rPr>
      <t xml:space="preserve">ADR:
https://github.com/PhamVanMinhBinhThuan/crypto-strategy-platform/blob/ef1ae919c06965895491868025dc8445deb46925/docs/adr/README.md
https://github.com/PhamVanMinhBinhThuan/crypto-strategy-platform/blob/ef1ae919c06965895491868025dc8445deb46925/docs/adr/0005-strategy-plugin-registry.md
https://github.com/PhamVanMinhBinhThuan/crypto-strategy-platform/blob/ef1ae919c06965895491868025dc8445deb46925/docs/adr/0004-websocket-realtime.md
https://github.com/PhamVanMinhBinhThuan/crypto-strategy-platform/blob/ef1ae919c06965895491868025dc8445deb46925/docs/adr/0006-queue-worker-backtesting.md
https://github.com/PhamVanMinhBinhThuan/crypto-strategy-platform/blob/ef1ae919c06965895491868025dc8445deb46925/docs/adr/0008-sentiment-service-boundary.md
https://github.com/PhamVanMinhBinhThuan/crypto-strategy-platform/blob/ef1ae919c06965895491868025dc8445deb46925/docs/adr/0009-reproducible-experiments.md
https://github.com/PhamVanMinhBinhThuan/crypto-strategy-platform/blob/ef1ae919c06965895491868025dc8445deb46925/docs/adr/0010-strategy-generator-contract.md
Architecture: 
</t>
    </r>
    <r>
      <rPr>
        <rFont val="Carlito"/>
        <color rgb="FF1155CC"/>
        <sz val="10.0"/>
        <u/>
      </rPr>
      <t>https://github.com/PhamVanMinhBinhThuan/crypto-strategy-platform/blob/ef1ae919c06965895491868025dc8445deb46925/docs/architecture/architecture-evidence.md#L46</t>
    </r>
  </si>
  <si>
    <t>Chỉ có ý nghĩa nếu dùng cho cache/state/queue/pub-sub cụ thể và chứng minh lợi ích.</t>
  </si>
  <si>
    <t>Redis Streams dùng cho queue/event với consumer groups; có pending reclaim, progress/cache, at-least-once + idempotency. PostgreSQL/Outbox giữ state bền vững.</t>
  </si>
  <si>
    <t>Redis giải quyết delivery, fan-out và transient state cụ thể; không dùng như dependency trang trí.</t>
  </si>
  <si>
    <t>apps/worker redis; modules/persistence outbox; apps/api realtime</t>
  </si>
  <si>
    <t>https://github.com/PhamVanMinhBinhThuan/crypto-strategy-platform/blob/ef1ae919c06965895491868025dc8445deb46925/docs/adr/0006-queue-worker-backtesting.md#L65 https://github.com/PhamVanMinhBinhThuan/crypto-strategy-platform/blob/ef1ae919c06965895491868025dc8445deb46925/docs/adr/0007-postgresql-redis-ownership.md#L63 https://github.com/PhamVanMinhBinhThuan/crypto-strategy-platform/blob/ef1ae919c06965895491868025dc8445deb46925/docs/architecture/container-view.md#L65 https://github.com/PhamVanMinhBinhThuan/crypto-strategy-platform/blob/ef1ae919c06965895491868025dc8445deb46925/apps/worker/src/main/java/com/cryptostrategy/platform/worker/infra/redis/RedisStreamTopologyInitializer.java#L17 https://github.com/PhamVanMinhBinhThuan/crypto-strategy-platform/blob/ef1ae919c06965895491868025dc8445deb46925/docs/evidence/f014/failure-recovery.md</t>
  </si>
  <si>
    <t>Tạo job, dừng Redis/Worker, bật lại; kiểm tra Outbox republish, pending reclaim và không sinh result trùng.</t>
  </si>
  <si>
    <t>Có test Redis thật/recovery; chưa có demo recovery-time hoặc benchmark queue nhiều process để claim nâng cao.</t>
  </si>
  <si>
    <t>Kafka / RabbitMQ</t>
  </si>
  <si>
    <t>Tách producer/consumer, xử lý event/job bất đồng bộ; cần demo failure/retry/throughput nếu khai.</t>
  </si>
  <si>
    <t>Video/demo &amp; link minh chứng</t>
  </si>
  <si>
    <t>Link demo, báo cáo, hướng dẫn cài đặt hoạt động; minh chứng được gắn trực tiếp vào rubric để người chấm kiểm tra nhanh.</t>
  </si>
  <si>
    <r>
      <rPr>
        <rFont val="Carlito"/>
        <sz val="10.0"/>
      </rPr>
      <t xml:space="preserve">ADR:
https://github.com/PhamVanMinhBinhThuan/crypto-strategy-platform/blob/ef1ae919c06965895491868025dc8445deb46925/docs/adr/README.md
Architecture: 
https://github.com/PhamVanMinhBinhThuan/crypto-strategy-platform/blob/ef1ae919c06965895491868025dc8445deb46925/docs/architecture/data-flows.md#L223
Implementation/Run: 
https://github.com/PhamVanMinhBinhThuan/crypto-strategy-platform/blob/ef1ae919c06965895491868025dc8445deb46925/docs/demo/f014/runbook.md
https://github.com/PhamVanMinhBinhThuan/crypto-strategy-platform/blob/ef1ae919c06965895491868025dc8445deb46925/docs/demo/f014/demo-checklist.md
</t>
    </r>
    <r>
      <rPr>
        <rFont val="Carlito"/>
        <color rgb="FF1155CC"/>
        <sz val="10.0"/>
        <u/>
      </rPr>
      <t>https://github.com/PhamVanMinhBinhThuan/crypto-strategy-platform/blob/ef1ae919c06965895491868025dc8445deb46925/docs/evidence/f014/runbook-dry-run.md#L37</t>
    </r>
  </si>
  <si>
    <t>Worker Pool</t>
  </si>
  <si>
    <t>Đề bài §38; liên quan scalability §43</t>
  </si>
  <si>
    <t>Chạy backtest song song, scale số candidate; nên có số liệu thời gian/throughput.</t>
  </si>
  <si>
    <t>Worker dùng fixed thread pool + semaphore, concurrency cấu hình được; Search giới hạn in-flight theo experiment và Redis consumer group hỗ trợ scale-out.</t>
  </si>
  <si>
    <t>Vượt xử lý tuần tự bằng parallel backtest có giới hạn và duplicate safety.</t>
  </si>
  <si>
    <t>apps/worker engine/config; modules/experiment-execution; Redis consumer group</t>
  </si>
  <si>
    <t>https://github.com/PhamVanMinhBinhThuan/crypto-strategy-platform/blob/ef1ae919c06965895491868025dc8445deb46925/docs/adr/0006-queue-worker-backtesting.md#L256 https://github.com/PhamVanMinhBinhThuan/crypto-strategy-platform/blob/ef1ae919c06965895491868025dc8445deb46925/docs/architecture/quality-attributes.md#L70 https://github.com/PhamVanMinhBinhThuan/crypto-strategy-platform/blob/ef1ae919c06965895491868025dc8445deb46925/apps/worker/src/main/java/com/cryptostrategy/platform/worker/engine/BacktestExecutionPipeline.java#L16 https://github.com/PhamVanMinhBinhThuan/crypto-strategy-platform/blob/ef1ae919c06965895491868025dc8445deb46925/apps/api/src/test/java/com/cryptostrategy/platform/api/performance/F014DemoPerformanceTest.java#L55 https://github.com/PhamVanMinhBinhThuan/crypto-strategy-platform/blob/ef1ae919c06965895491868025dc8445deb46925/docs/evidence/f014/performance.md#L3</t>
  </si>
  <si>
    <t>Chạy cùng workload với concurrency 1 và 3; sau đó chạy ít nhất 2 Worker cùng consumer group để quan sát phân phối job.</t>
  </si>
  <si>
    <t>Benchmark in-process: median speedup 2,527×, 36/36 candidate, 0 timeout/duplicate; chưa đo nhiều Worker/process với Redis + PostgreSQL thật.</t>
  </si>
  <si>
    <t>Microservices</t>
  </si>
  <si>
    <t>D. Demo &amp; độ tin cậy</t>
  </si>
  <si>
    <t>Chỉ nên khai nếu việc tách service giải quyết coupling/deployment/scaling thực tế, không phải chỉ chia project.</t>
  </si>
  <si>
    <t>Demo end-to-end</t>
  </si>
  <si>
    <t>Trình diễn được flow: dữ liệu realtime → chọn strategy → search → backtest → evaluate → leaderboard → click strategy → visualize → news/sentiment.</t>
  </si>
  <si>
    <r>
      <rPr>
        <rFont val="Carlito"/>
        <sz val="10.0"/>
      </rPr>
      <t xml:space="preserve">ADR:
https://github.com/PhamVanMinhBinhThuan/crypto-strategy-platform/blob/ef1ae919c06965895491868025dc8445deb46925/docs/adr/0003-market-data-adapter.md
https://github.com/PhamVanMinhBinhThuan/crypto-strategy-platform/blob/ef1ae919c06965895491868025dc8445deb46925/docs/adr/0004-websocket-realtime.md
https://github.com/PhamVanMinhBinhThuan/crypto-strategy-platform/blob/ef1ae919c06965895491868025dc8445deb46925/docs/adr/0005-strategy-plugin-registry.md
https://github.com/PhamVanMinhBinhThuan/crypto-strategy-platform/blob/ef1ae919c06965895491868025dc8445deb46925/docs/adr/0006-queue-worker-backtesting.md
https://github.com/PhamVanMinhBinhThuan/crypto-strategy-platform/blob/ef1ae919c06965895491868025dc8445deb46925/docs/adr/0009-reproducible-experiments.md
Architecture: 
https://github.com/PhamVanMinhBinhThuan/crypto-strategy-platform/blob/ef1ae919c06965895491868025dc8445deb46925/docs/architecture/data-flows.md#L223
https://github.com/PhamVanMinhBinhThuan/crypto-strategy-platform/blob/ef1ae919c06965895491868025dc8445deb46925/docs/architecture/data-flows.md#L253
Implementation/Run:
https://github.com/PhamVanMinhBinhThuan/crypto-strategy-platform/blob/ef1ae919c06965895491868025dc8445deb46925/docs/evidence/f014/main-flow.md#L5
https://github.com/PhamVanMinhBinhThuan/crypto-strategy-platform/blob/ef1ae919c06965895491868025dc8445deb46925/docs/evidence/f014/main-flow.md#L14
https://github.com/PhamVanMinhBinhThuan/crypto-strategy-platform/blob/ef1ae919c06965895491868025dc8445deb46925/docs/evidence/f014/main-flow.md#L16
https://github.com/PhamVanMinhBinhThuan/crypto-strategy-platform/blob/ef1ae919c06965895491868025dc8445deb46925/docs/evidence/f014/runbook-dry-run.md#L70
</t>
    </r>
    <r>
      <rPr>
        <rFont val="Carlito"/>
        <color rgb="FF1155CC"/>
        <sz val="10.0"/>
        <u/>
      </rPr>
      <t>https://github.com/PhamVanMinhBinhThuan/crypto-strategy-platform/blob/ef1ae919c06965895491868025dc8445deb46925/docs/evidence/f014/runbook-dry-run.md#L79</t>
    </r>
  </si>
  <si>
    <t>CQRS</t>
  </si>
  <si>
    <t>Tách mô hình ghi/đọc khi có lý do kiến trúc cụ thể; cần chỉ ra flow và trade-off.</t>
  </si>
  <si>
    <t>Scenario kiến trúc / xử lý lỗi</t>
  </si>
  <si>
    <t>Chứng minh ít nhất 2 scenario: thêm MACD ít sửa code; đổi search algorithm; disconnect Binance; News lỗi nhưng chart vẫn chạy; trace strategy version.</t>
  </si>
  <si>
    <t>Event Sourcing</t>
  </si>
  <si>
    <t>Lưu chuỗi event để trace/replay trạng thái; cần giải thích vì sao cần và demo khả năng truy vết/replay.</t>
  </si>
  <si>
    <t>E. Mở rộng có giá trị</t>
  </si>
  <si>
    <t>Phần nâng cao có mục tiêu kiến trúc rõ</t>
  </si>
  <si>
    <t>Ví dụ Genetic/Bayesian/LLM search, worker pool, multiple exchanges, market regime, ML nâng cao... Chỉ tự chấm cao khi chứng minh công sức, độ phức tạp và vấn đề kiến trúc được giải quyết.</t>
  </si>
  <si>
    <t>Plugin Architecture nâng cao</t>
  </si>
  <si>
    <t>Plugin/extensibility là trọng tâm xuyên suốt đề bài; §38 cũng liệt kê Plugin Architecture</t>
  </si>
  <si>
    <t>Không tự động là điểm cộng nếu chỉ đáp ứng core. Chỉ khai khi có phần vượt yêu cầu, ví dụ đăng ký/loading plugin thực sự và chứng minh thay đổi tối thiểu.</t>
  </si>
  <si>
    <r>
      <rPr>
        <rFont val="Carlito"/>
        <sz val="10.0"/>
      </rPr>
      <t xml:space="preserve">ADR: 
https://github.com/PhamVanMinhBinhThuan/crypto-strategy-platform/blob/ef1ae919c06965895491868025dc8445deb46925/docs/adr/0006-queue-worker-backtesting.md#L29
https://github.com/PhamVanMinhBinhThuan/crypto-strategy-platform/blob/ef1ae919c06965895491868025dc8445deb46925/docs/adr/0007-postgresql-redis-ownership.md#L63
https://github.com/PhamVanMinhBinhThuan/crypto-strategy-platform/blob/ef1ae919c06965895491868025dc8445deb46925/docs/adr/0008-sentiment-service-boundary.md#L34
Architecture: 
https://github.com/PhamVanMinhBinhThuan/crypto-strategy-platform/blob/ef1ae919c06965895491868025dc8445deb46925/docs/architecture/quality-attributes.md#L70
https://github.com/PhamVanMinhBinhThuan/crypto-strategy-platform/blob/ef1ae919c06965895491868025dc8445deb46925/docs/architecture/container-view.md#L44
 Implementation/Test:
https://github.com/PhamVanMinhBinhThuan/crypto-strategy-platform/blob/ef1ae919c06965895491868025dc8445deb46925/docs/evidence/f014/advanced-evidence.md
https://github.com/PhamVanMinhBinhThuan/crypto-strategy-platform/blob/ef1ae919c06965895491868025dc8445deb46925/docs/evidence/f014/performance.md#L3
</t>
    </r>
    <r>
      <rPr>
        <rFont val="Carlito"/>
        <color rgb="FF1155CC"/>
        <sz val="10.0"/>
        <u/>
      </rPr>
      <t>https://github.com/PhamVanMinhBinhThuan/crypto-strategy-platform/blob/ef1ae919c06965895491868025dc8445deb46925/docs/evidence/f014/failure-recovery.md#L80</t>
    </r>
  </si>
  <si>
    <t>Đã có trusted compile-time StrategyPlugin registry, descriptor/schema/version, kiểm tra identity trùng và durable catalog integrity cho 4 strategy. Chưa có dynamic/untrusted loading.</t>
  </si>
  <si>
    <t>Đáp ứng extensibility cốt lõi; phần 'nâng cao' mới ở mức nền tảng, chưa chứng minh runtime loading/minimal-change end-to-end.</t>
  </si>
  <si>
    <t>modules/strategy-core; modules/strategies; modules/persistence; apps/api</t>
  </si>
  <si>
    <t>https://github.com/PhamVanMinhBinhThuan/crypto-strategy-platform/blob/ef1ae919c06965895491868025dc8445deb46925/docs/adr/0005-strategy-plugin-registry.md#L34 https://github.com/PhamVanMinhBinhThuan/crypto-strategy-platform/blob/ef1ae919c06965895491868025dc8445deb46925/docs/architecture/module-view.md https://github.com/PhamVanMinhBinhThuan/crypto-strategy-platform/blob/ef1ae919c06965895491868025dc8445deb46925/modules/strategies/src/main/java/com/cryptostrategy/platform/strategies/api/StrategyPlugins.java#L14 https://github.com/PhamVanMinhBinhThuan/crypto-strategy-platform/blob/ef1ae919c06965895491868025dc8445deb46925/modules/strategies/src/test/java/com/cryptostrategy/platform/strategies/api/StrategyPluginsTest.java#L20</t>
  </si>
  <si>
    <t>Thêm một trusted plugin mới, đăng ký descriptor và chạy API/backtest để kiểm tra downstream không cần sửa.</t>
  </si>
  <si>
    <t>Registry/schema/integrity tests có; chưa có dynamic loading hoặc bằng chứng thay đổi tối thiểu toàn pipeline.</t>
  </si>
  <si>
    <t>Sáng tạo khác</t>
  </si>
  <si>
    <t>Ý tưởng nâng cao khác #1</t>
  </si>
  <si>
    <t>Nhóm tự đề xuất – phải liên quan trực tiếp mục tiêu đồ án</t>
  </si>
  <si>
    <t>Mô tả vấn đề thực tế/kiến trúc mà ý tưởng giải quyết.</t>
  </si>
  <si>
    <t>Ý tưởng nâng cao khác #2</t>
  </si>
  <si>
    <t>Ý tưởng nâng cao khác #3</t>
  </si>
  <si>
    <t>Ý tưởng nâng cao khác #4</t>
  </si>
  <si>
    <t>THANG TỰ ĐÁNH GIÁ 0–3: 0 = mới nêu ý tưởng/chưa chạy; 1 = prototype chạy một phần; 2 = hoàn thành và demo được nhưng minh chứng/đo lường còn hạn chế; 3 = hoàn thành tốt, modular, có demo + code + test/measurement + giải thích trade-off.</t>
  </si>
  <si>
    <t>LƯU Ý CHO GIẢNG VIÊN: Cột N chỉ là tự đánh giá của sinh viên. Cột O dành cho giảng viên quyết định nhận xét/điểm cộng. Không có công thức tự động cộng vào điểm đồ 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</si>
</sst>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6">
    <font>
      <sz val="11.0"/>
      <color rgb="FF000000"/>
      <name val="Carlito"/>
      <scheme val="minor"/>
    </font>
    <font>
      <b/>
      <sz val="15.0"/>
      <color theme="0"/>
      <name val="Carlito"/>
    </font>
    <font>
      <b/>
      <sz val="16.0"/>
      <color theme="0"/>
      <name val="Carlito"/>
    </font>
    <font/>
    <font>
      <color theme="1"/>
      <name val="Carlito"/>
      <scheme val="minor"/>
    </font>
    <font>
      <i/>
      <sz val="11.0"/>
      <color theme="1"/>
      <name val="Carlito"/>
    </font>
    <font>
      <b/>
      <sz val="11.0"/>
      <color rgb="FF1F2937"/>
      <name val="Carlito"/>
    </font>
    <font>
      <b/>
      <sz val="11.0"/>
      <color theme="0"/>
      <name val="Carlito"/>
    </font>
    <font>
      <b/>
      <sz val="11.0"/>
      <color theme="1"/>
      <name val="Carlito"/>
    </font>
    <font>
      <sz val="11.0"/>
      <color theme="1"/>
      <name val="Carlito"/>
    </font>
    <font>
      <u/>
      <sz val="11.0"/>
      <color rgb="FF0000FF"/>
      <name val="Carlito"/>
    </font>
    <font>
      <u/>
      <sz val="11.0"/>
      <color rgb="FF0000FF"/>
      <name val="Carlito"/>
    </font>
    <font>
      <i/>
      <sz val="11.0"/>
      <color rgb="FF334155"/>
      <name val="Carlito"/>
    </font>
    <font>
      <b/>
      <sz val="11.0"/>
      <color rgb="FF9A3412"/>
      <name val="Carlito"/>
    </font>
    <font>
      <b/>
      <sz val="14.0"/>
      <color rgb="FF0F172A"/>
      <name val="Carlito"/>
    </font>
    <font>
      <sz val="10.0"/>
      <color theme="1"/>
      <name val="Carlito"/>
    </font>
    <font>
      <b/>
      <sz val="10.0"/>
      <color theme="1"/>
      <name val="Carlito"/>
    </font>
    <font>
      <b/>
      <sz val="16.0"/>
      <color rgb="FFFFFFFF"/>
      <name val="Carlito"/>
    </font>
    <font>
      <b/>
      <sz val="11.0"/>
      <color rgb="FF7F6000"/>
      <name val="Carlito"/>
    </font>
    <font>
      <sz val="11.0"/>
      <color rgb="FF375623"/>
      <name val="Carlito"/>
    </font>
    <font>
      <u/>
      <sz val="10.0"/>
      <color rgb="FF0000FF"/>
      <name val="Carlito"/>
    </font>
    <font>
      <b/>
      <sz val="11.0"/>
      <color rgb="FFFFFFFF"/>
      <name val="Carlito"/>
    </font>
    <font>
      <sz val="11.0"/>
      <color rgb="FF000000"/>
      <name val="Carlito"/>
    </font>
    <font>
      <u/>
      <sz val="10.0"/>
      <color rgb="FF2563EB"/>
      <name val="Carlito"/>
    </font>
    <font>
      <b/>
      <sz val="11.0"/>
      <color rgb="FF274E13"/>
      <name val="Carlito"/>
    </font>
    <font>
      <b/>
      <sz val="11.0"/>
      <color rgb="FF990000"/>
      <name val="Carlito"/>
    </font>
  </fonts>
  <fills count="27">
    <fill>
      <patternFill patternType="none"/>
    </fill>
    <fill>
      <patternFill patternType="lightGray"/>
    </fill>
    <fill>
      <patternFill patternType="solid">
        <fgColor theme="4"/>
        <bgColor theme="4"/>
      </patternFill>
    </fill>
    <fill>
      <patternFill patternType="solid">
        <fgColor rgb="FFE8F1FB"/>
        <bgColor rgb="FFE8F1FB"/>
      </patternFill>
    </fill>
    <fill>
      <patternFill patternType="solid">
        <fgColor rgb="FFDCE6F1"/>
        <bgColor rgb="FFDCE6F1"/>
      </patternFill>
    </fill>
    <fill>
      <patternFill patternType="solid">
        <fgColor rgb="FFFFF2CC"/>
        <bgColor rgb="FFFFF2CC"/>
      </patternFill>
    </fill>
    <fill>
      <patternFill patternType="solid">
        <fgColor rgb="FFFAFAFA"/>
        <bgColor rgb="FFFAFAFA"/>
      </patternFill>
    </fill>
    <fill>
      <patternFill patternType="solid">
        <fgColor rgb="FFFFF9E6"/>
        <bgColor rgb="FFFFF9E6"/>
      </patternFill>
    </fill>
    <fill>
      <patternFill patternType="solid">
        <fgColor theme="9"/>
        <bgColor theme="9"/>
      </patternFill>
    </fill>
    <fill>
      <patternFill patternType="solid">
        <fgColor rgb="FFE2F0D9"/>
        <bgColor rgb="FFE2F0D9"/>
      </patternFill>
    </fill>
    <fill>
      <patternFill patternType="solid">
        <fgColor rgb="FFD9EAD3"/>
        <bgColor rgb="FFD9EAD3"/>
      </patternFill>
    </fill>
    <fill>
      <patternFill patternType="solid">
        <fgColor rgb="FFFDE9D9"/>
        <bgColor rgb="FFFDE9D9"/>
      </patternFill>
    </fill>
    <fill>
      <patternFill patternType="solid">
        <fgColor rgb="FFEAF2F8"/>
        <bgColor rgb="FFEAF2F8"/>
      </patternFill>
    </fill>
    <fill>
      <patternFill patternType="solid">
        <fgColor rgb="FFD9EAF7"/>
        <bgColor rgb="FFD9EAF7"/>
      </patternFill>
    </fill>
    <fill>
      <patternFill patternType="solid">
        <fgColor rgb="FF17365D"/>
        <bgColor rgb="FF17365D"/>
      </patternFill>
    </fill>
    <fill>
      <patternFill patternType="solid">
        <fgColor rgb="FF5B9BD5"/>
        <bgColor rgb="FF5B9BD5"/>
      </patternFill>
    </fill>
    <fill>
      <patternFill patternType="solid">
        <fgColor rgb="FF4472C4"/>
        <bgColor rgb="FF4472C4"/>
      </patternFill>
    </fill>
    <fill>
      <patternFill patternType="solid">
        <fgColor rgb="FFDDEBF7"/>
        <bgColor rgb="FFDDEBF7"/>
      </patternFill>
    </fill>
    <fill>
      <patternFill patternType="solid">
        <fgColor rgb="FFFFFDF2"/>
        <bgColor rgb="FFFFFDF2"/>
      </patternFill>
    </fill>
    <fill>
      <patternFill patternType="solid">
        <fgColor rgb="FFE8F5E9"/>
        <bgColor rgb="FFE8F5E9"/>
      </patternFill>
    </fill>
    <fill>
      <patternFill patternType="solid">
        <fgColor rgb="FFFCE4D6"/>
        <bgColor rgb="FFFCE4D6"/>
      </patternFill>
    </fill>
    <fill>
      <patternFill patternType="solid">
        <fgColor rgb="FFF3E8FF"/>
        <bgColor rgb="FFF3E8FF"/>
      </patternFill>
    </fill>
    <fill>
      <patternFill patternType="solid">
        <fgColor rgb="FFE4DFEC"/>
        <bgColor rgb="FFE4DFEC"/>
      </patternFill>
    </fill>
    <fill>
      <patternFill patternType="solid">
        <fgColor rgb="FFFFF3E0"/>
        <bgColor rgb="FFFFF3E0"/>
      </patternFill>
    </fill>
    <fill>
      <patternFill patternType="solid">
        <fgColor rgb="FFFDECEC"/>
        <bgColor rgb="FFFDECEC"/>
      </patternFill>
    </fill>
    <fill>
      <patternFill patternType="solid">
        <fgColor rgb="FFF2F2F2"/>
        <bgColor rgb="FFF2F2F2"/>
      </patternFill>
    </fill>
    <fill>
      <patternFill patternType="solid">
        <fgColor rgb="FFF4CCCC"/>
        <bgColor rgb="FFF4CCCC"/>
      </patternFill>
    </fill>
  </fills>
  <borders count="32">
    <border/>
    <border>
      <left/>
      <top/>
      <bottom/>
    </border>
    <border>
      <top/>
      <bottom/>
    </border>
    <border>
      <right/>
      <top/>
      <bottom/>
    </border>
    <border>
      <left/>
      <right/>
      <top/>
      <bottom/>
    </border>
    <border>
      <left style="thin">
        <color rgb="FFB7C4CE"/>
      </left>
      <right style="thin">
        <color rgb="FFB7C4CE"/>
      </right>
      <top style="thin">
        <color rgb="FFB7C4CE"/>
      </top>
      <bottom style="thin">
        <color rgb="FFB7C4CE"/>
      </bottom>
    </border>
    <border>
      <left style="thin">
        <color rgb="FFB7C4CE"/>
      </left>
      <top style="thin">
        <color rgb="FFB7C4CE"/>
      </top>
      <bottom style="thin">
        <color rgb="FFB7C4CE"/>
      </bottom>
    </border>
    <border>
      <top style="thin">
        <color rgb="FFB7C4CE"/>
      </top>
      <bottom style="thin">
        <color rgb="FFB7C4CE"/>
      </bottom>
    </border>
    <border>
      <right style="thin">
        <color rgb="FFB7C4CE"/>
      </right>
      <top style="thin">
        <color rgb="FFB7C4CE"/>
      </top>
      <bottom style="thin">
        <color rgb="FFB7C4CE"/>
      </bottom>
    </border>
    <border>
      <left style="thin">
        <color rgb="FF7F8C8D"/>
      </left>
      <top style="thin">
        <color rgb="FF7F8C8D"/>
      </top>
      <bottom style="thin">
        <color rgb="FF7F8C8D"/>
      </bottom>
    </border>
    <border>
      <right style="thin">
        <color rgb="FF7F8C8D"/>
      </right>
      <top style="thin">
        <color rgb="FF7F8C8D"/>
      </top>
      <bottom style="thin">
        <color rgb="FF7F8C8D"/>
      </bottom>
    </border>
    <border>
      <left style="thin">
        <color rgb="FF7F8C8D"/>
      </left>
      <right style="thin">
        <color rgb="FF7F8C8D"/>
      </right>
      <top style="thin">
        <color rgb="FF7F8C8D"/>
      </top>
      <bottom style="thin">
        <color rgb="FF7F8C8D"/>
      </bottom>
    </border>
    <border>
      <left/>
      <top/>
    </border>
    <border>
      <right/>
      <top/>
    </border>
    <border>
      <left/>
      <bottom/>
    </border>
    <border>
      <right/>
      <bottom/>
    </border>
    <border>
      <left style="thin">
        <color rgb="FFA6A6A6"/>
      </left>
      <right/>
      <top style="thin">
        <color rgb="FFA6A6A6"/>
      </top>
      <bottom/>
    </border>
    <border>
      <left/>
      <right style="thin">
        <color rgb="FFA6A6A6"/>
      </right>
      <top style="thin">
        <color rgb="FFA6A6A6"/>
      </top>
      <bottom/>
    </border>
    <border>
      <left style="thin">
        <color rgb="FFA6A6A6"/>
      </left>
    </border>
    <border>
      <right style="thin">
        <color rgb="FFA6A6A6"/>
      </right>
    </border>
    <border>
      <left style="thin">
        <color rgb="FFA6A6A6"/>
      </left>
      <bottom style="thin">
        <color rgb="FFA6A6A6"/>
      </bottom>
    </border>
    <border>
      <right style="thin">
        <color rgb="FFA6A6A6"/>
      </right>
      <bottom style="thin">
        <color rgb="FFA6A6A6"/>
      </bottom>
    </border>
    <border>
      <left style="thin">
        <color rgb="FFD9E1F2"/>
      </left>
      <top style="thin">
        <color rgb="FFD9E1F2"/>
      </top>
    </border>
    <border>
      <left/>
      <right/>
      <top style="thin">
        <color rgb="FFD9E1F2"/>
      </top>
      <bottom/>
    </border>
    <border>
      <top style="thin">
        <color rgb="FFD9E1F2"/>
      </top>
    </border>
    <border>
      <left/>
      <right style="thin">
        <color rgb="FFD9E1F2"/>
      </right>
      <top style="thin">
        <color rgb="FFD9E1F2"/>
      </top>
      <bottom/>
    </border>
    <border>
      <left style="thin">
        <color rgb="FFD9E1F2"/>
      </left>
    </border>
    <border>
      <left/>
      <right style="thin">
        <color rgb="FFD9E1F2"/>
      </right>
      <top/>
      <bottom/>
    </border>
    <border>
      <top style="thin">
        <color rgb="FF7F8C8D"/>
      </top>
      <bottom style="thin">
        <color rgb="FF7F8C8D"/>
      </bottom>
    </border>
    <border>
      <left style="thin">
        <color rgb="FFD9E1F2"/>
      </left>
      <bottom style="thin">
        <color rgb="FFD9E1F2"/>
      </bottom>
    </border>
    <border>
      <left/>
      <right/>
      <top/>
      <bottom style="thin">
        <color rgb="FFD9E1F2"/>
      </bottom>
    </border>
    <border>
      <left/>
      <right style="thin">
        <color rgb="FFD9E1F2"/>
      </right>
      <top/>
      <bottom style="thin">
        <color rgb="FFD9E1F2"/>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4" numFmtId="0" xfId="0" applyAlignment="1" applyFont="1">
      <alignment shrinkToFit="0" wrapText="1"/>
    </xf>
    <xf borderId="1" fillId="3" fontId="5" numFmtId="0" xfId="0" applyAlignment="1" applyBorder="1" applyFill="1" applyFont="1">
      <alignment shrinkToFit="0" wrapText="1"/>
    </xf>
    <xf borderId="4" fillId="2" fontId="1" numFmtId="0" xfId="0" applyAlignment="1" applyBorder="1" applyFill="1" applyFont="1">
      <alignment horizontal="center" vertical="center"/>
    </xf>
    <xf borderId="1" fillId="4" fontId="6" numFmtId="0" xfId="0" applyAlignment="1" applyBorder="1" applyFill="1" applyFont="1">
      <alignment shrinkToFit="0" vertical="center" wrapText="1"/>
    </xf>
    <xf borderId="5" fillId="2" fontId="7" numFmtId="0" xfId="0" applyAlignment="1" applyBorder="1" applyFill="1" applyFont="1">
      <alignment horizontal="center" shrinkToFit="0" vertical="center" wrapText="1"/>
    </xf>
    <xf borderId="5" fillId="4" fontId="8" numFmtId="0" xfId="0" applyAlignment="1" applyBorder="1" applyFill="1" applyFont="1">
      <alignment shrinkToFit="0" vertical="top" wrapText="1"/>
    </xf>
    <xf borderId="1" fillId="5" fontId="9" numFmtId="0" xfId="0" applyAlignment="1" applyBorder="1" applyFill="1" applyFont="1">
      <alignment readingOrder="0" shrinkToFit="0" vertical="center" wrapText="1"/>
    </xf>
    <xf borderId="5" fillId="6" fontId="9" numFmtId="0" xfId="0" applyAlignment="1" applyBorder="1" applyFill="1" applyFont="1">
      <alignment shrinkToFit="0" vertical="top" wrapText="1"/>
    </xf>
    <xf borderId="5" fillId="0" fontId="9" numFmtId="0" xfId="0" applyAlignment="1" applyBorder="1" applyFont="1">
      <alignment shrinkToFit="0" vertical="top" wrapText="1"/>
    </xf>
    <xf borderId="5" fillId="7" fontId="9" numFmtId="0" xfId="0" applyAlignment="1" applyBorder="1" applyFill="1" applyFont="1">
      <alignment readingOrder="0" shrinkToFit="0" vertical="top" wrapText="1"/>
    </xf>
    <xf borderId="5" fillId="7" fontId="9" numFmtId="0" xfId="0" applyAlignment="1" applyBorder="1" applyFill="1" applyFont="1">
      <alignment shrinkToFit="0" vertical="top" wrapText="1"/>
    </xf>
    <xf borderId="5" fillId="7" fontId="9" numFmtId="9" xfId="0" applyAlignment="1" applyBorder="1" applyFill="1" applyFont="1" applyNumberFormat="1">
      <alignment readingOrder="0" shrinkToFit="0" vertical="top" wrapText="1"/>
    </xf>
    <xf borderId="1" fillId="5" fontId="10" numFmtId="0" xfId="0" applyAlignment="1" applyBorder="1" applyFill="1" applyFont="1">
      <alignment readingOrder="0" shrinkToFit="0" vertical="center" wrapText="1"/>
    </xf>
    <xf borderId="4" fillId="8" fontId="7" numFmtId="0" xfId="0" applyAlignment="1" applyBorder="1" applyFill="1" applyFont="1">
      <alignment horizontal="center" vertical="center"/>
    </xf>
    <xf borderId="5" fillId="5" fontId="9" numFmtId="0" xfId="0" applyAlignment="1" applyBorder="1" applyFill="1" applyFont="1">
      <alignment readingOrder="0" shrinkToFit="0" vertical="top" wrapText="1"/>
    </xf>
    <xf borderId="1" fillId="5" fontId="9" numFmtId="0" xfId="0" applyAlignment="1" applyBorder="1" applyFill="1" applyFont="1">
      <alignment shrinkToFit="0" vertical="center" wrapText="1"/>
    </xf>
    <xf borderId="0" fillId="0" fontId="8" numFmtId="0" xfId="0" applyAlignment="1" applyFont="1">
      <alignment shrinkToFit="0" wrapText="1"/>
    </xf>
    <xf borderId="5" fillId="7" fontId="9" numFmtId="9" xfId="0" applyAlignment="1" applyBorder="1" applyFill="1" applyFont="1" applyNumberFormat="1">
      <alignment shrinkToFit="0" vertical="top" wrapText="1"/>
    </xf>
    <xf borderId="5" fillId="0" fontId="9" numFmtId="0" xfId="0" applyBorder="1" applyFont="1"/>
    <xf borderId="0" fillId="0" fontId="9" numFmtId="0" xfId="0" applyAlignment="1" applyFont="1">
      <alignment shrinkToFit="0" wrapText="1"/>
    </xf>
    <xf borderId="5" fillId="9" fontId="8" numFmtId="0" xfId="0" applyAlignment="1" applyBorder="1" applyFill="1" applyFont="1">
      <alignment horizontal="center"/>
    </xf>
    <xf borderId="1" fillId="5" fontId="9" numFmtId="164" xfId="0" applyAlignment="1" applyBorder="1" applyFill="1" applyFont="1" applyNumberFormat="1">
      <alignment horizontal="left" readingOrder="0" shrinkToFit="0" vertical="center" wrapText="1"/>
    </xf>
    <xf borderId="6" fillId="10" fontId="8" numFmtId="0" xfId="0" applyBorder="1" applyFill="1" applyFont="1"/>
    <xf borderId="7" fillId="0" fontId="3" numFmtId="0" xfId="0" applyBorder="1" applyFont="1"/>
    <xf borderId="8" fillId="0" fontId="3" numFmtId="0" xfId="0" applyBorder="1" applyFont="1"/>
    <xf borderId="1" fillId="5" fontId="11" numFmtId="0" xfId="0" applyAlignment="1" applyBorder="1" applyFill="1" applyFont="1">
      <alignment readingOrder="0" shrinkToFit="0" vertical="center" wrapText="1"/>
    </xf>
    <xf borderId="1" fillId="8" fontId="7" numFmtId="0" xfId="0" applyAlignment="1" applyBorder="1" applyFill="1" applyFont="1">
      <alignment horizontal="center"/>
    </xf>
    <xf borderId="5" fillId="10" fontId="8" numFmtId="0" xfId="0" applyAlignment="1" applyBorder="1" applyFill="1" applyFont="1">
      <alignment horizontal="center" shrinkToFit="0" vertical="center" wrapText="1"/>
    </xf>
    <xf borderId="5" fillId="10" fontId="8" numFmtId="9" xfId="0" applyBorder="1" applyFill="1" applyFont="1" applyNumberFormat="1"/>
    <xf borderId="1" fillId="3" fontId="12" numFmtId="0" xfId="0" applyAlignment="1" applyBorder="1" applyFill="1" applyFont="1">
      <alignment shrinkToFit="0" vertical="center" wrapText="1"/>
    </xf>
    <xf borderId="9" fillId="10" fontId="8" numFmtId="0" xfId="0" applyBorder="1" applyFill="1" applyFont="1"/>
    <xf borderId="10" fillId="0" fontId="3" numFmtId="0" xfId="0" applyBorder="1" applyFont="1"/>
    <xf borderId="11" fillId="10" fontId="8" numFmtId="0" xfId="0" applyBorder="1" applyFill="1" applyFont="1"/>
    <xf borderId="1" fillId="2" fontId="7" numFmtId="0" xfId="0" applyAlignment="1" applyBorder="1" applyFill="1" applyFont="1">
      <alignment horizontal="center" vertical="center"/>
    </xf>
    <xf borderId="12" fillId="11" fontId="13" numFmtId="0" xfId="0" applyAlignment="1" applyBorder="1" applyFill="1" applyFont="1">
      <alignment shrinkToFit="0" vertical="center" wrapText="1"/>
    </xf>
    <xf borderId="13" fillId="0" fontId="3" numFmtId="0" xfId="0" applyBorder="1" applyFont="1"/>
    <xf borderId="1" fillId="12" fontId="14" numFmtId="0" xfId="0" applyAlignment="1" applyBorder="1" applyFill="1" applyFont="1">
      <alignment horizontal="center" vertical="center"/>
    </xf>
    <xf borderId="14" fillId="0" fontId="3" numFmtId="0" xfId="0" applyBorder="1" applyFont="1"/>
    <xf borderId="15" fillId="0" fontId="3" numFmtId="0" xfId="0" applyBorder="1" applyFont="1"/>
    <xf borderId="5" fillId="0" fontId="15" numFmtId="0" xfId="0" applyAlignment="1" applyBorder="1" applyFont="1">
      <alignment shrinkToFit="0" vertical="top" wrapText="1"/>
    </xf>
    <xf borderId="5" fillId="13" fontId="16" numFmtId="0" xfId="0" applyAlignment="1" applyBorder="1" applyFill="1" applyFont="1">
      <alignment shrinkToFit="0" vertical="top" wrapText="1"/>
    </xf>
    <xf borderId="5" fillId="5" fontId="15" numFmtId="0" xfId="0" applyAlignment="1" applyBorder="1" applyFill="1" applyFont="1">
      <alignment readingOrder="0" shrinkToFit="0" vertical="top" wrapText="1"/>
    </xf>
    <xf borderId="1" fillId="14" fontId="17" numFmtId="0" xfId="0" applyAlignment="1" applyBorder="1" applyFill="1" applyFont="1">
      <alignment horizontal="center" vertical="center"/>
    </xf>
    <xf borderId="5" fillId="9" fontId="15" numFmtId="0" xfId="0" applyAlignment="1" applyBorder="1" applyFill="1" applyFont="1">
      <alignment shrinkToFit="0" vertical="top" wrapText="1"/>
    </xf>
    <xf borderId="1" fillId="5" fontId="18" numFmtId="0" xfId="0" applyAlignment="1" applyBorder="1" applyFill="1" applyFont="1">
      <alignment shrinkToFit="0" vertical="center" wrapText="1"/>
    </xf>
    <xf borderId="1" fillId="9" fontId="19" numFmtId="0" xfId="0" applyAlignment="1" applyBorder="1" applyFill="1" applyFont="1">
      <alignment shrinkToFit="0" vertical="center" wrapText="1"/>
    </xf>
    <xf borderId="5" fillId="7" fontId="20" numFmtId="0" xfId="0" applyAlignment="1" applyBorder="1" applyFill="1" applyFont="1">
      <alignment readingOrder="0" shrinkToFit="0" vertical="top" wrapText="1"/>
    </xf>
    <xf borderId="5" fillId="7" fontId="15" numFmtId="0" xfId="0" applyAlignment="1" applyBorder="1" applyFill="1" applyFont="1">
      <alignment shrinkToFit="0" vertical="top" wrapText="1"/>
    </xf>
    <xf borderId="16" fillId="15" fontId="21" numFmtId="0" xfId="0" applyAlignment="1" applyBorder="1" applyFill="1" applyFont="1">
      <alignment horizontal="center"/>
    </xf>
    <xf borderId="17" fillId="15" fontId="21" numFmtId="0" xfId="0" applyAlignment="1" applyBorder="1" applyFill="1" applyFont="1">
      <alignment horizontal="center"/>
    </xf>
    <xf borderId="18" fillId="0" fontId="9" numFmtId="0" xfId="0" applyBorder="1" applyFont="1"/>
    <xf borderId="19" fillId="0" fontId="9" numFmtId="0" xfId="0" applyBorder="1" applyFont="1"/>
    <xf borderId="20" fillId="0" fontId="9" numFmtId="0" xfId="0" applyBorder="1" applyFont="1"/>
    <xf borderId="21" fillId="0" fontId="9" numFmtId="0" xfId="0" applyBorder="1" applyFont="1"/>
    <xf borderId="4" fillId="16" fontId="21" numFmtId="0" xfId="0" applyAlignment="1" applyBorder="1" applyFill="1" applyFont="1">
      <alignment horizontal="center" shrinkToFit="0" vertical="center" wrapText="1"/>
    </xf>
    <xf borderId="22" fillId="0" fontId="9" numFmtId="0" xfId="0" applyAlignment="1" applyBorder="1" applyFont="1">
      <alignment horizontal="center" shrinkToFit="0" vertical="top" wrapText="1"/>
    </xf>
    <xf borderId="23" fillId="17" fontId="9" numFmtId="0" xfId="0" applyAlignment="1" applyBorder="1" applyFill="1" applyFont="1">
      <alignment shrinkToFit="0" vertical="top" wrapText="1"/>
    </xf>
    <xf borderId="23" fillId="18" fontId="9" numFmtId="0" xfId="0" applyAlignment="1" applyBorder="1" applyFill="1" applyFont="1">
      <alignment readingOrder="0" shrinkToFit="0" vertical="top" wrapText="1"/>
    </xf>
    <xf borderId="24" fillId="18" fontId="22" numFmtId="0" xfId="0" applyAlignment="1" applyBorder="1" applyFill="1" applyFont="1">
      <alignment readingOrder="0" vertical="top"/>
    </xf>
    <xf borderId="23" fillId="18" fontId="9" numFmtId="0" xfId="0" applyAlignment="1" applyBorder="1" applyFill="1" applyFont="1">
      <alignment shrinkToFit="0" vertical="top" wrapText="1"/>
    </xf>
    <xf borderId="23" fillId="18" fontId="9" numFmtId="0" xfId="0" applyAlignment="1" applyBorder="1" applyFill="1" applyFont="1">
      <alignment horizontal="center" shrinkToFit="0" vertical="top" wrapText="1"/>
    </xf>
    <xf borderId="25" fillId="18" fontId="9" numFmtId="0" xfId="0" applyAlignment="1" applyBorder="1" applyFill="1" applyFont="1">
      <alignment shrinkToFit="0" vertical="top" wrapText="1"/>
    </xf>
    <xf borderId="26" fillId="0" fontId="9" numFmtId="0" xfId="0" applyAlignment="1" applyBorder="1" applyFont="1">
      <alignment horizontal="center" shrinkToFit="0" vertical="top" wrapText="1"/>
    </xf>
    <xf borderId="4" fillId="17" fontId="9" numFmtId="0" xfId="0" applyAlignment="1" applyBorder="1" applyFill="1" applyFont="1">
      <alignment shrinkToFit="0" vertical="top" wrapText="1"/>
    </xf>
    <xf borderId="4" fillId="18" fontId="9" numFmtId="0" xfId="0" applyAlignment="1" applyBorder="1" applyFill="1" applyFont="1">
      <alignment shrinkToFit="0" vertical="top" wrapText="1"/>
    </xf>
    <xf borderId="4" fillId="18" fontId="9" numFmtId="0" xfId="0" applyAlignment="1" applyBorder="1" applyFill="1" applyFont="1">
      <alignment horizontal="center" shrinkToFit="0" vertical="top" wrapText="1"/>
    </xf>
    <xf borderId="27" fillId="18" fontId="9" numFmtId="0" xfId="0" applyAlignment="1" applyBorder="1" applyFill="1" applyFont="1">
      <alignment shrinkToFit="0" vertical="top" wrapText="1"/>
    </xf>
    <xf borderId="5" fillId="19" fontId="16" numFmtId="0" xfId="0" applyAlignment="1" applyBorder="1" applyFill="1" applyFont="1">
      <alignment shrinkToFit="0" vertical="top" wrapText="1"/>
    </xf>
    <xf borderId="5" fillId="7" fontId="15" numFmtId="0" xfId="0" applyAlignment="1" applyBorder="1" applyFill="1" applyFont="1">
      <alignment readingOrder="0" shrinkToFit="0" vertical="top" wrapText="1"/>
    </xf>
    <xf borderId="4" fillId="18" fontId="9" numFmtId="0" xfId="0" applyAlignment="1" applyBorder="1" applyFill="1" applyFont="1">
      <alignment readingOrder="0" shrinkToFit="0" vertical="top" wrapText="1"/>
    </xf>
    <xf borderId="0" fillId="18" fontId="22" numFmtId="0" xfId="0" applyAlignment="1" applyFill="1" applyFont="1">
      <alignment readingOrder="0" vertical="top"/>
    </xf>
    <xf borderId="4" fillId="9" fontId="9" numFmtId="0" xfId="0" applyAlignment="1" applyBorder="1" applyFill="1" applyFont="1">
      <alignment shrinkToFit="0" vertical="top" wrapText="1"/>
    </xf>
    <xf borderId="4" fillId="5" fontId="9" numFmtId="0" xfId="0" applyAlignment="1" applyBorder="1" applyFill="1" applyFont="1">
      <alignment shrinkToFit="0" vertical="top" wrapText="1"/>
    </xf>
    <xf borderId="5" fillId="7" fontId="23" numFmtId="0" xfId="0" applyAlignment="1" applyBorder="1" applyFill="1" applyFont="1">
      <alignment readingOrder="0" shrinkToFit="0" vertical="top" wrapText="1"/>
    </xf>
    <xf borderId="5" fillId="7" fontId="15" numFmtId="0" xfId="0" applyAlignment="1" applyBorder="1" applyFill="1" applyFont="1">
      <alignment readingOrder="0" shrinkToFit="0" vertical="top" wrapText="1"/>
    </xf>
    <xf borderId="4" fillId="20" fontId="9" numFmtId="0" xfId="0" applyAlignment="1" applyBorder="1" applyFill="1" applyFont="1">
      <alignment shrinkToFit="0" vertical="top" wrapText="1"/>
    </xf>
    <xf borderId="5" fillId="21" fontId="16" numFmtId="0" xfId="0" applyAlignment="1" applyBorder="1" applyFill="1" applyFont="1">
      <alignment shrinkToFit="0" vertical="top" wrapText="1"/>
    </xf>
    <xf borderId="4" fillId="18" fontId="9" numFmtId="0" xfId="0" applyAlignment="1" applyBorder="1" applyFill="1" applyFont="1">
      <alignment horizontal="center" readingOrder="0" shrinkToFit="0" vertical="top" wrapText="1"/>
    </xf>
    <xf borderId="4" fillId="22" fontId="9" numFmtId="0" xfId="0" applyAlignment="1" applyBorder="1" applyFill="1" applyFont="1">
      <alignment shrinkToFit="0" vertical="top" wrapText="1"/>
    </xf>
    <xf borderId="5" fillId="23" fontId="16" numFmtId="0" xfId="0" applyAlignment="1" applyBorder="1" applyFill="1" applyFont="1">
      <alignment shrinkToFit="0" vertical="top" wrapText="1"/>
    </xf>
    <xf borderId="5" fillId="24" fontId="16" numFmtId="0" xfId="0" applyAlignment="1" applyBorder="1" applyFill="1" applyFont="1">
      <alignment shrinkToFit="0" vertical="top" wrapText="1"/>
    </xf>
    <xf borderId="9" fillId="10" fontId="8" numFmtId="0" xfId="0" applyAlignment="1" applyBorder="1" applyFill="1" applyFont="1">
      <alignment vertical="center"/>
    </xf>
    <xf borderId="28" fillId="0" fontId="3" numFmtId="0" xfId="0" applyBorder="1" applyFont="1"/>
    <xf borderId="4" fillId="25" fontId="9" numFmtId="0" xfId="0" applyAlignment="1" applyBorder="1" applyFill="1" applyFont="1">
      <alignment shrinkToFit="0" vertical="top" wrapText="1"/>
    </xf>
    <xf borderId="11" fillId="10" fontId="8" numFmtId="0" xfId="0" applyAlignment="1" applyBorder="1" applyFill="1" applyFont="1">
      <alignment vertical="center"/>
    </xf>
    <xf borderId="11" fillId="10" fontId="8" numFmtId="0" xfId="0" applyAlignment="1" applyBorder="1" applyFill="1" applyFont="1">
      <alignment shrinkToFit="0" vertical="center" wrapText="1"/>
    </xf>
    <xf borderId="29" fillId="0" fontId="9" numFmtId="0" xfId="0" applyAlignment="1" applyBorder="1" applyFont="1">
      <alignment horizontal="center" shrinkToFit="0" vertical="top" wrapText="1"/>
    </xf>
    <xf borderId="30" fillId="25" fontId="9" numFmtId="0" xfId="0" applyAlignment="1" applyBorder="1" applyFill="1" applyFont="1">
      <alignment shrinkToFit="0" vertical="top" wrapText="1"/>
    </xf>
    <xf borderId="30" fillId="18" fontId="9" numFmtId="0" xfId="0" applyAlignment="1" applyBorder="1" applyFill="1" applyFont="1">
      <alignment shrinkToFit="0" vertical="top" wrapText="1"/>
    </xf>
    <xf borderId="30" fillId="18" fontId="9" numFmtId="0" xfId="0" applyAlignment="1" applyBorder="1" applyFill="1" applyFont="1">
      <alignment horizontal="center" shrinkToFit="0" vertical="top" wrapText="1"/>
    </xf>
    <xf borderId="31" fillId="18" fontId="9" numFmtId="0" xfId="0" applyAlignment="1" applyBorder="1" applyFill="1" applyFont="1">
      <alignment shrinkToFit="0" vertical="top" wrapText="1"/>
    </xf>
    <xf borderId="1" fillId="10" fontId="24" numFmtId="0" xfId="0" applyAlignment="1" applyBorder="1" applyFill="1" applyFont="1">
      <alignment shrinkToFit="0" vertical="center" wrapText="1"/>
    </xf>
    <xf borderId="1" fillId="26" fontId="25" numFmtId="0" xfId="0" applyAlignment="1" applyBorder="1" applyFill="1" applyFont="1">
      <alignment shrinkToFit="0" vertical="center" wrapText="1"/>
    </xf>
  </cellXfs>
  <cellStyles count="1">
    <cellStyle xfId="0" name="Normal" builtinId="0"/>
  </cellStyles>
  <dxfs count="8">
    <dxf>
      <font>
        <b/>
        <color rgb="FF14532D"/>
      </font>
      <fill>
        <patternFill patternType="solid">
          <fgColor rgb="FFBBF7D0"/>
          <bgColor rgb="FFBBF7D0"/>
        </patternFill>
      </fill>
      <border/>
    </dxf>
    <dxf>
      <font>
        <b/>
        <color rgb="FF991B1B"/>
      </font>
      <fill>
        <patternFill patternType="solid">
          <fgColor rgb="FFFECACA"/>
          <bgColor rgb="FFFECACA"/>
        </patternFill>
      </fill>
      <border/>
    </dxf>
    <dxf>
      <font>
        <b/>
        <color rgb="FF854D0E"/>
      </font>
      <fill>
        <patternFill patternType="solid">
          <fgColor rgb="FFFEF3C7"/>
          <bgColor rgb="FFFEF3C7"/>
        </patternFill>
      </fill>
      <border/>
    </dxf>
    <dxf>
      <font>
        <b/>
        <color rgb="FF375623"/>
      </font>
      <fill>
        <patternFill patternType="solid">
          <fgColor rgb="FFC6E0B4"/>
          <bgColor rgb="FFC6E0B4"/>
        </patternFill>
      </fill>
      <border/>
    </dxf>
    <dxf>
      <font/>
      <fill>
        <patternFill patternType="solid">
          <fgColor rgb="FFFFE699"/>
          <bgColor rgb="FFFFE699"/>
        </patternFill>
      </fill>
      <border/>
    </dxf>
    <dxf>
      <font>
        <color rgb="FF7F7F7F"/>
      </font>
      <fill>
        <patternFill patternType="solid">
          <fgColor rgb="FFF2F2F2"/>
          <bgColor rgb="FFF2F2F2"/>
        </patternFill>
      </fill>
      <border/>
    </dxf>
    <dxf>
      <font>
        <b/>
      </font>
      <fill>
        <patternFill patternType="solid">
          <fgColor rgb="FFC6E0B4"/>
          <bgColor rgb="FFC6E0B4"/>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11827"/>
      </a:dk1>
      <a:lt1>
        <a:srgbClr val="FFFFFF"/>
      </a:lt1>
      <a:dk2>
        <a:srgbClr val="111827"/>
      </a:dk2>
      <a:lt2>
        <a:srgbClr val="FFFFFF"/>
      </a:lt2>
      <a:accent1>
        <a:srgbClr val="1F4E78"/>
      </a:accent1>
      <a:accent2>
        <a:srgbClr val="F59E0B"/>
      </a:accent2>
      <a:accent3>
        <a:srgbClr val="16A34A"/>
      </a:accent3>
      <a:accent4>
        <a:srgbClr val="0EA5E9"/>
      </a:accent4>
      <a:accent5>
        <a:srgbClr val="7C3AED"/>
      </a:accent5>
      <a:accent6>
        <a:srgbClr val="0F766E"/>
      </a:accent6>
      <a:hlink>
        <a:srgbClr val="2563EB"/>
      </a:hlink>
      <a:folHlink>
        <a:srgbClr val="2563EB"/>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PhamVanMinhBinhThuan/crypto-strategy-platform/blob/ef1ae919c06965895491868025dc8445deb46925/docs/evidence/f014/runbook-dry-run.md" TargetMode="External"/><Relationship Id="rId11" Type="http://schemas.openxmlformats.org/officeDocument/2006/relationships/hyperlink" Target="https://github.com/PhamVanMinhBinhThuan/crypto-strategy-platform/blob/ef1ae919c06965895491868025dc8445deb46925/modules/backtesting/src/test/java/com/cryptostrategy/platform/backtesting/internal/DeterministicBacktestEngineTest.java" TargetMode="External"/><Relationship Id="rId22" Type="http://schemas.openxmlformats.org/officeDocument/2006/relationships/hyperlink" Target="https://github.com/PhamVanMinhBinhThuan/crypto-strategy-platform/blob/ef1ae919c06965895491868025dc8445deb46925/docs/evidence/f014/failure-recovery.md" TargetMode="External"/><Relationship Id="rId10" Type="http://schemas.openxmlformats.org/officeDocument/2006/relationships/hyperlink" Target="https://github.com/PhamVanMinhBinhThuan/crypto-strategy-platform/blob/ef1ae919c06965895491868025dc8445deb46925/docs/evidence/f014/foundation-gates.md" TargetMode="External"/><Relationship Id="rId21" Type="http://schemas.openxmlformats.org/officeDocument/2006/relationships/hyperlink" Target="https://github.com/PhamVanMinhBinhThuan/crypto-strategy-platform/blob/ef1ae919c06965895491868025dc8445deb46925/docs/evidence/f014/runbook-dry-run.md" TargetMode="External"/><Relationship Id="rId13" Type="http://schemas.openxmlformats.org/officeDocument/2006/relationships/hyperlink" Target="https://github.com/PhamVanMinhBinhThuan/crypto-strategy-platform/blob/ef1ae919c06965895491868025dc8445deb46925/modules/experiment-execution/src/main/java/com/cryptostrategy/platform/execution/internal/TrustedSearchCoordinationService.java" TargetMode="External"/><Relationship Id="rId12" Type="http://schemas.openxmlformats.org/officeDocument/2006/relationships/hyperlink" Target="https://github.com/PhamVanMinhBinhThuan/crypto-strategy-platform/blob/ef1ae919c06965895491868025dc8445deb46925/apps/web/src/features/backtests/components/ResultSummary.tsx" TargetMode="External"/><Relationship Id="rId23" Type="http://schemas.openxmlformats.org/officeDocument/2006/relationships/drawing" Target="../drawings/drawing1.xml"/><Relationship Id="rId1" Type="http://schemas.openxmlformats.org/officeDocument/2006/relationships/hyperlink" Target="https://github.com/PhamVanMinhBinhThuan/crypto-strategy-platform" TargetMode="External"/><Relationship Id="rId2" Type="http://schemas.openxmlformats.org/officeDocument/2006/relationships/hyperlink" Target="https://github.com/PhamVanMinhBinhThuan/crypto-strategy-platform/blob/main/docs/SETUP.md" TargetMode="External"/><Relationship Id="rId3" Type="http://schemas.openxmlformats.org/officeDocument/2006/relationships/hyperlink" Target="https://github.com/PhamVanMinhBinhThuan/crypto-strategy-platform/blob/docs/architecture-questions/docs/questions/4_add_new_strategy/answer.md" TargetMode="External"/><Relationship Id="rId4" Type="http://schemas.openxmlformats.org/officeDocument/2006/relationships/hyperlink" Target="https://github.com/PhamVanMinhBinhThuan/crypto-strategy-platform/blob/docs/architecture-questions/docs/questions/4_add_new_strategy/answer.md" TargetMode="External"/><Relationship Id="rId9" Type="http://schemas.openxmlformats.org/officeDocument/2006/relationships/hyperlink" Target="https://github.com/PhamVanMinhBinhThuan/crypto-strategy-platform/blob/ef1ae919c06965895491868025dc8445deb46925/docs/evidence/f014/reproduction.md" TargetMode="External"/><Relationship Id="rId15" Type="http://schemas.openxmlformats.org/officeDocument/2006/relationships/hyperlink" Target="https://github.com/PhamVanMinhBinhThuan/crypto-strategy-platform/blob/ef1ae919c06965895491868025dc8445deb46925/docs/adr/0005-strategy-plugin-registry.md" TargetMode="External"/><Relationship Id="rId14" Type="http://schemas.openxmlformats.org/officeDocument/2006/relationships/hyperlink" Target="https://github.com/PhamVanMinhBinhThuan/crypto-strategy-platform/blob/ef1ae919c06965895491868025dc8445deb46925/apps/web/src/features/backtests/components/BacktestResultsView.tsx" TargetMode="External"/><Relationship Id="rId17" Type="http://schemas.openxmlformats.org/officeDocument/2006/relationships/hyperlink" Target="https://github.com/PhamVanMinhBinhThuan/crypto-strategy-platform/blob/ef1ae919c06965895491868025dc8445deb46925/README.md" TargetMode="External"/><Relationship Id="rId16" Type="http://schemas.openxmlformats.org/officeDocument/2006/relationships/hyperlink" Target="https://www.kaggle.com/code/vandangnghi/notebook3a507ebd17" TargetMode="External"/><Relationship Id="rId5" Type="http://schemas.openxmlformats.org/officeDocument/2006/relationships/hyperlink" Target="https://github.com/PhamVanMinhBinhThuan/crypto-strategy-platform/blob/docs/architecture-questions/docs/questions/5_replace_search_algorithm/answer.md" TargetMode="External"/><Relationship Id="rId19" Type="http://schemas.openxmlformats.org/officeDocument/2006/relationships/hyperlink" Target="https://github.com/PhamVanMinhBinhThuan/crypto-strategy-platform/blob/ef1ae919c06965895491868025dc8445deb46925/docs/architecture/architecture-evidence.md" TargetMode="External"/><Relationship Id="rId6" Type="http://schemas.openxmlformats.org/officeDocument/2006/relationships/hyperlink" Target="https://github.com/PhamVanMinhBinhThuan/crypto-strategy-platform/blob/docs/architecture-questions/docs/questions/7_scale_100000_backtests/answer.md" TargetMode="External"/><Relationship Id="rId18" Type="http://schemas.openxmlformats.org/officeDocument/2006/relationships/hyperlink" Target="https://github.com/PhamVanMinhBinhThuan/crypto-strategy-platform/blob/ef1ae919c06965895491868025dc8445deb46925/docs/evidence/f014/foundation-gates.md" TargetMode="External"/><Relationship Id="rId7" Type="http://schemas.openxmlformats.org/officeDocument/2006/relationships/hyperlink" Target="https://github.com/PhamVanMinhBinhThuan/crypto-strategy-platform/blob/ef1ae919c06965895491868025dc8445deb46925/docs/adr/0004-websocket-realtime.md" TargetMode="External"/><Relationship Id="rId8" Type="http://schemas.openxmlformats.org/officeDocument/2006/relationships/hyperlink" Target="https://github.com/PhamVanMinhBinhThuan/crypto-strategy-platform/blob/ef1ae919c06965895491868025dc8445deb46925/docs/evidence/f014/failure-recovery.m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23.0"/>
    <col customWidth="1" min="3" max="3" width="28.0"/>
    <col customWidth="1" min="4" max="4" width="58.0"/>
    <col customWidth="1" min="5" max="5" width="11.0"/>
    <col customWidth="1" min="6" max="6" width="13.0"/>
    <col customWidth="1" min="7" max="7" width="12.0"/>
    <col customWidth="1" min="8" max="9" width="34.0"/>
    <col customWidth="1" min="10" max="10" width="18.0"/>
    <col customWidth="1" min="11" max="11" width="8.63"/>
    <col customWidth="1" min="12" max="12" width="25.0"/>
    <col customWidth="1" min="13" max="14" width="12.0"/>
    <col customWidth="1" min="15" max="26" width="8.63"/>
  </cols>
  <sheetData>
    <row r="1">
      <c r="A1" s="2" t="s">
        <v>3</v>
      </c>
      <c r="B1" s="3"/>
      <c r="C1" s="3"/>
      <c r="D1" s="3"/>
      <c r="E1" s="3"/>
      <c r="F1" s="3"/>
      <c r="G1" s="3"/>
      <c r="H1" s="3"/>
      <c r="I1" s="3"/>
      <c r="J1" s="4"/>
    </row>
    <row r="2">
      <c r="H2" s="5"/>
    </row>
    <row r="3">
      <c r="A3" s="8" t="s">
        <v>5</v>
      </c>
      <c r="B3" s="4"/>
      <c r="C3" s="11" t="s">
        <v>7</v>
      </c>
      <c r="D3" s="4"/>
      <c r="E3" s="8" t="s">
        <v>13</v>
      </c>
      <c r="F3" s="4"/>
      <c r="G3" s="17" t="s">
        <v>15</v>
      </c>
      <c r="H3" s="3"/>
      <c r="I3" s="3"/>
      <c r="J3" s="4"/>
      <c r="L3" s="18" t="s">
        <v>41</v>
      </c>
      <c r="M3" s="18" t="s">
        <v>48</v>
      </c>
      <c r="N3" s="18" t="s">
        <v>50</v>
      </c>
    </row>
    <row r="4">
      <c r="A4" s="8" t="s">
        <v>52</v>
      </c>
      <c r="B4" s="4"/>
      <c r="C4" s="11" t="s">
        <v>56</v>
      </c>
      <c r="D4" s="4"/>
      <c r="E4" s="8" t="s">
        <v>59</v>
      </c>
      <c r="F4" s="4"/>
      <c r="G4" s="20"/>
      <c r="H4" s="3"/>
      <c r="I4" s="3"/>
      <c r="J4" s="4"/>
      <c r="L4" s="23" t="s">
        <v>64</v>
      </c>
      <c r="M4" s="23">
        <v>35.0</v>
      </c>
      <c r="N4" s="25">
        <f>ROUND(SUM(G16:G22),1)</f>
        <v>35</v>
      </c>
    </row>
    <row r="5">
      <c r="A5" s="8" t="s">
        <v>76</v>
      </c>
      <c r="B5" s="4"/>
      <c r="C5" s="11" t="s">
        <v>26</v>
      </c>
      <c r="D5" s="4"/>
      <c r="E5" s="8" t="s">
        <v>79</v>
      </c>
      <c r="F5" s="4"/>
      <c r="G5" s="20"/>
      <c r="H5" s="3"/>
      <c r="I5" s="3"/>
      <c r="J5" s="4"/>
      <c r="L5" s="23" t="s">
        <v>82</v>
      </c>
      <c r="M5" s="23">
        <v>40.0</v>
      </c>
      <c r="N5" s="25">
        <f>ROUND(SUM(G23:G32),1)</f>
        <v>40</v>
      </c>
    </row>
    <row r="6">
      <c r="A6" s="8" t="s">
        <v>84</v>
      </c>
      <c r="B6" s="4"/>
      <c r="C6" s="26">
        <v>46270.0</v>
      </c>
      <c r="D6" s="4"/>
      <c r="E6" s="8" t="s">
        <v>87</v>
      </c>
      <c r="F6" s="4"/>
      <c r="G6" s="30" t="s">
        <v>89</v>
      </c>
      <c r="H6" s="3"/>
      <c r="I6" s="3"/>
      <c r="J6" s="4"/>
      <c r="L6" s="23" t="s">
        <v>95</v>
      </c>
      <c r="M6" s="23">
        <v>15.0</v>
      </c>
      <c r="N6" s="25">
        <f>ROUND(SUM(G33:G36),1)</f>
        <v>15</v>
      </c>
    </row>
    <row r="7">
      <c r="E7" s="8" t="s">
        <v>97</v>
      </c>
      <c r="F7" s="4"/>
      <c r="G7" s="20"/>
      <c r="H7" s="3"/>
      <c r="I7" s="3"/>
      <c r="J7" s="4"/>
      <c r="L7" s="23" t="s">
        <v>100</v>
      </c>
      <c r="M7" s="23">
        <v>5.0</v>
      </c>
      <c r="N7" s="25">
        <f>ROUND(SUM(G37:G38),1)</f>
        <v>5</v>
      </c>
    </row>
    <row r="8">
      <c r="A8" s="34" t="s">
        <v>103</v>
      </c>
      <c r="B8" s="3"/>
      <c r="C8" s="3"/>
      <c r="D8" s="3"/>
      <c r="E8" s="3"/>
      <c r="F8" s="3"/>
      <c r="G8" s="3"/>
      <c r="H8" s="3"/>
      <c r="I8" s="3"/>
      <c r="J8" s="4"/>
      <c r="L8" s="23" t="s">
        <v>106</v>
      </c>
      <c r="M8" s="23">
        <v>5.0</v>
      </c>
      <c r="N8" s="25">
        <f>ROUND(SUM(G39),1)</f>
        <v>5</v>
      </c>
    </row>
    <row r="9">
      <c r="H9" s="5"/>
      <c r="L9" s="35" t="s">
        <v>109</v>
      </c>
      <c r="M9" s="36"/>
      <c r="N9" s="37">
        <f>SUM(N4:N8)</f>
        <v>100</v>
      </c>
    </row>
    <row r="10">
      <c r="A10" s="38" t="s">
        <v>114</v>
      </c>
      <c r="B10" s="4"/>
      <c r="C10" s="38" t="s">
        <v>116</v>
      </c>
      <c r="D10" s="4"/>
      <c r="E10" s="38" t="s">
        <v>118</v>
      </c>
      <c r="F10" s="4"/>
      <c r="G10" s="38" t="s">
        <v>119</v>
      </c>
      <c r="H10" s="4"/>
      <c r="I10" s="39" t="s">
        <v>122</v>
      </c>
      <c r="J10" s="40"/>
    </row>
    <row r="11">
      <c r="A11" s="41">
        <f>ROUND(SUM(G16:G39),1)</f>
        <v>100</v>
      </c>
      <c r="B11" s="4"/>
      <c r="C11" s="41">
        <f>ROUND(A11/10,2)</f>
        <v>10</v>
      </c>
      <c r="D11" s="4"/>
      <c r="E11" s="41">
        <f>COUNTIF(F16:F39,"&gt;=3")</f>
        <v>24</v>
      </c>
      <c r="F11" s="4"/>
      <c r="G11" s="41">
        <f>COUNTIF(J16:J39,"Thiếu minh chứng")</f>
        <v>1</v>
      </c>
      <c r="H11" s="4"/>
      <c r="I11" s="42"/>
      <c r="J11" s="43"/>
    </row>
    <row r="12">
      <c r="H12" s="5"/>
    </row>
    <row r="13">
      <c r="H13" s="5"/>
    </row>
    <row r="14">
      <c r="H14" s="5"/>
    </row>
    <row r="15">
      <c r="A15" s="9" t="s">
        <v>6</v>
      </c>
      <c r="B15" s="9" t="s">
        <v>41</v>
      </c>
      <c r="C15" s="9" t="s">
        <v>123</v>
      </c>
      <c r="D15" s="9" t="s">
        <v>124</v>
      </c>
      <c r="E15" s="9" t="s">
        <v>48</v>
      </c>
      <c r="F15" s="9" t="s">
        <v>125</v>
      </c>
      <c r="G15" s="9" t="s">
        <v>126</v>
      </c>
      <c r="H15" s="9" t="s">
        <v>127</v>
      </c>
      <c r="I15" s="9" t="s">
        <v>128</v>
      </c>
      <c r="J15" s="9" t="s">
        <v>129</v>
      </c>
    </row>
    <row r="16">
      <c r="A16" s="44">
        <v>1.0</v>
      </c>
      <c r="B16" s="45" t="s">
        <v>130</v>
      </c>
      <c r="C16" s="44" t="s">
        <v>131</v>
      </c>
      <c r="D16" s="44" t="s">
        <v>132</v>
      </c>
      <c r="E16" s="44">
        <v>7.0</v>
      </c>
      <c r="F16" s="46">
        <v>4.0</v>
      </c>
      <c r="G16" s="48">
        <f t="shared" ref="G16:G39" si="1">IF(F16="",0,E16*F16/4)</f>
        <v>7</v>
      </c>
      <c r="H16" s="51" t="s">
        <v>134</v>
      </c>
      <c r="I16" s="52"/>
      <c r="J16" s="44" t="str">
        <f t="shared" ref="J16:J39" si="2">IF(AND(F16&gt;=3,LEN(H16)=0),"Thiếu minh chứng","")</f>
        <v/>
      </c>
    </row>
    <row r="17">
      <c r="A17" s="44">
        <v>2.0</v>
      </c>
      <c r="B17" s="45" t="s">
        <v>130</v>
      </c>
      <c r="C17" s="44" t="s">
        <v>140</v>
      </c>
      <c r="D17" s="44" t="s">
        <v>141</v>
      </c>
      <c r="E17" s="44">
        <v>6.0</v>
      </c>
      <c r="F17" s="46">
        <v>4.0</v>
      </c>
      <c r="G17" s="48">
        <f t="shared" si="1"/>
        <v>6</v>
      </c>
      <c r="H17" s="51" t="s">
        <v>142</v>
      </c>
      <c r="I17" s="52"/>
      <c r="J17" s="44" t="str">
        <f t="shared" si="2"/>
        <v/>
      </c>
    </row>
    <row r="18">
      <c r="A18" s="44">
        <v>3.0</v>
      </c>
      <c r="B18" s="45" t="s">
        <v>130</v>
      </c>
      <c r="C18" s="44" t="s">
        <v>143</v>
      </c>
      <c r="D18" s="44" t="s">
        <v>145</v>
      </c>
      <c r="E18" s="44">
        <v>5.0</v>
      </c>
      <c r="F18" s="46">
        <v>4.0</v>
      </c>
      <c r="G18" s="48">
        <f t="shared" si="1"/>
        <v>5</v>
      </c>
      <c r="H18" s="51" t="s">
        <v>146</v>
      </c>
      <c r="I18" s="52"/>
      <c r="J18" s="44" t="str">
        <f t="shared" si="2"/>
        <v/>
      </c>
    </row>
    <row r="19">
      <c r="A19" s="44">
        <v>4.0</v>
      </c>
      <c r="B19" s="45" t="s">
        <v>130</v>
      </c>
      <c r="C19" s="44" t="s">
        <v>158</v>
      </c>
      <c r="D19" s="44" t="s">
        <v>160</v>
      </c>
      <c r="E19" s="44">
        <v>5.0</v>
      </c>
      <c r="F19" s="46">
        <v>4.0</v>
      </c>
      <c r="G19" s="48">
        <f t="shared" si="1"/>
        <v>5</v>
      </c>
      <c r="H19" s="51" t="s">
        <v>163</v>
      </c>
      <c r="I19" s="52"/>
      <c r="J19" s="44" t="str">
        <f t="shared" si="2"/>
        <v/>
      </c>
    </row>
    <row r="20">
      <c r="A20" s="44">
        <v>5.0</v>
      </c>
      <c r="B20" s="45" t="s">
        <v>130</v>
      </c>
      <c r="C20" s="44" t="s">
        <v>169</v>
      </c>
      <c r="D20" s="44" t="s">
        <v>171</v>
      </c>
      <c r="E20" s="44">
        <v>4.0</v>
      </c>
      <c r="F20" s="46">
        <v>4.0</v>
      </c>
      <c r="G20" s="48">
        <f t="shared" si="1"/>
        <v>4</v>
      </c>
      <c r="H20" s="51" t="s">
        <v>176</v>
      </c>
      <c r="I20" s="52"/>
      <c r="J20" s="44" t="str">
        <f t="shared" si="2"/>
        <v/>
      </c>
    </row>
    <row r="21">
      <c r="A21" s="44">
        <v>6.0</v>
      </c>
      <c r="B21" s="45" t="s">
        <v>130</v>
      </c>
      <c r="C21" s="44" t="s">
        <v>179</v>
      </c>
      <c r="D21" s="44" t="s">
        <v>181</v>
      </c>
      <c r="E21" s="44">
        <v>4.0</v>
      </c>
      <c r="F21" s="46">
        <v>4.0</v>
      </c>
      <c r="G21" s="48">
        <f t="shared" si="1"/>
        <v>4</v>
      </c>
      <c r="H21" s="51" t="s">
        <v>182</v>
      </c>
      <c r="I21" s="52"/>
      <c r="J21" s="44" t="str">
        <f t="shared" si="2"/>
        <v/>
      </c>
    </row>
    <row r="22">
      <c r="A22" s="44">
        <v>7.0</v>
      </c>
      <c r="B22" s="45" t="s">
        <v>130</v>
      </c>
      <c r="C22" s="44" t="s">
        <v>183</v>
      </c>
      <c r="D22" s="44" t="s">
        <v>184</v>
      </c>
      <c r="E22" s="44">
        <v>4.0</v>
      </c>
      <c r="F22" s="46">
        <v>4.0</v>
      </c>
      <c r="G22" s="48">
        <f t="shared" si="1"/>
        <v>4</v>
      </c>
      <c r="H22" s="51" t="s">
        <v>187</v>
      </c>
      <c r="I22" s="52"/>
      <c r="J22" s="44" t="str">
        <f t="shared" si="2"/>
        <v/>
      </c>
    </row>
    <row r="23">
      <c r="A23" s="44">
        <v>8.0</v>
      </c>
      <c r="B23" s="72" t="s">
        <v>188</v>
      </c>
      <c r="C23" s="44" t="s">
        <v>189</v>
      </c>
      <c r="D23" s="44" t="s">
        <v>190</v>
      </c>
      <c r="E23" s="44">
        <v>6.0</v>
      </c>
      <c r="F23" s="46">
        <v>4.0</v>
      </c>
      <c r="G23" s="48">
        <f t="shared" si="1"/>
        <v>6</v>
      </c>
      <c r="H23" s="73" t="s">
        <v>193</v>
      </c>
      <c r="I23" s="52"/>
      <c r="J23" s="44" t="str">
        <f t="shared" si="2"/>
        <v/>
      </c>
    </row>
    <row r="24">
      <c r="A24" s="44">
        <v>9.0</v>
      </c>
      <c r="B24" s="72" t="s">
        <v>188</v>
      </c>
      <c r="C24" s="44" t="s">
        <v>194</v>
      </c>
      <c r="D24" s="44" t="s">
        <v>195</v>
      </c>
      <c r="E24" s="44">
        <v>5.0</v>
      </c>
      <c r="F24" s="46">
        <v>4.0</v>
      </c>
      <c r="G24" s="48">
        <f t="shared" si="1"/>
        <v>5</v>
      </c>
      <c r="H24" s="51" t="s">
        <v>198</v>
      </c>
      <c r="I24" s="52"/>
      <c r="J24" s="44" t="str">
        <f t="shared" si="2"/>
        <v/>
      </c>
    </row>
    <row r="25">
      <c r="A25" s="44">
        <v>10.0</v>
      </c>
      <c r="B25" s="72" t="s">
        <v>188</v>
      </c>
      <c r="C25" s="44" t="s">
        <v>203</v>
      </c>
      <c r="D25" s="44" t="s">
        <v>204</v>
      </c>
      <c r="E25" s="44">
        <v>5.0</v>
      </c>
      <c r="F25" s="46">
        <v>4.0</v>
      </c>
      <c r="G25" s="48">
        <f t="shared" si="1"/>
        <v>5</v>
      </c>
      <c r="H25" s="73" t="s">
        <v>205</v>
      </c>
      <c r="I25" s="52"/>
      <c r="J25" s="44" t="str">
        <f t="shared" si="2"/>
        <v/>
      </c>
    </row>
    <row r="26">
      <c r="A26" s="44">
        <v>11.0</v>
      </c>
      <c r="B26" s="72" t="s">
        <v>188</v>
      </c>
      <c r="C26" s="44" t="s">
        <v>206</v>
      </c>
      <c r="D26" s="44" t="s">
        <v>207</v>
      </c>
      <c r="E26" s="44">
        <v>6.0</v>
      </c>
      <c r="F26" s="46">
        <v>4.0</v>
      </c>
      <c r="G26" s="48">
        <f t="shared" si="1"/>
        <v>6</v>
      </c>
      <c r="H26" s="51" t="s">
        <v>210</v>
      </c>
      <c r="I26" s="52"/>
      <c r="J26" s="44" t="str">
        <f t="shared" si="2"/>
        <v/>
      </c>
    </row>
    <row r="27">
      <c r="A27" s="44">
        <v>12.0</v>
      </c>
      <c r="B27" s="72" t="s">
        <v>188</v>
      </c>
      <c r="C27" s="44" t="s">
        <v>213</v>
      </c>
      <c r="D27" s="44" t="s">
        <v>214</v>
      </c>
      <c r="E27" s="44">
        <v>4.0</v>
      </c>
      <c r="F27" s="46">
        <v>4.0</v>
      </c>
      <c r="G27" s="48">
        <f t="shared" si="1"/>
        <v>4</v>
      </c>
      <c r="H27" s="51" t="s">
        <v>215</v>
      </c>
      <c r="I27" s="52"/>
      <c r="J27" s="44" t="str">
        <f t="shared" si="2"/>
        <v/>
      </c>
    </row>
    <row r="28">
      <c r="A28" s="44">
        <v>13.0</v>
      </c>
      <c r="B28" s="72" t="s">
        <v>188</v>
      </c>
      <c r="C28" s="44" t="s">
        <v>226</v>
      </c>
      <c r="D28" s="44" t="s">
        <v>228</v>
      </c>
      <c r="E28" s="44">
        <v>5.0</v>
      </c>
      <c r="F28" s="46">
        <v>4.0</v>
      </c>
      <c r="G28" s="48">
        <f t="shared" si="1"/>
        <v>5</v>
      </c>
      <c r="H28" s="51" t="s">
        <v>231</v>
      </c>
      <c r="I28" s="52"/>
      <c r="J28" s="44" t="str">
        <f t="shared" si="2"/>
        <v/>
      </c>
    </row>
    <row r="29">
      <c r="A29" s="44">
        <v>14.0</v>
      </c>
      <c r="B29" s="72" t="s">
        <v>188</v>
      </c>
      <c r="C29" s="44" t="s">
        <v>234</v>
      </c>
      <c r="D29" s="44" t="s">
        <v>235</v>
      </c>
      <c r="E29" s="44">
        <v>3.0</v>
      </c>
      <c r="F29" s="46">
        <v>4.0</v>
      </c>
      <c r="G29" s="48">
        <f t="shared" si="1"/>
        <v>3</v>
      </c>
      <c r="H29" s="73" t="s">
        <v>237</v>
      </c>
      <c r="I29" s="52"/>
      <c r="J29" s="44" t="str">
        <f t="shared" si="2"/>
        <v/>
      </c>
    </row>
    <row r="30">
      <c r="A30" s="44">
        <v>15.0</v>
      </c>
      <c r="B30" s="72" t="s">
        <v>188</v>
      </c>
      <c r="C30" s="44" t="s">
        <v>239</v>
      </c>
      <c r="D30" s="44" t="s">
        <v>240</v>
      </c>
      <c r="E30" s="44">
        <v>3.0</v>
      </c>
      <c r="F30" s="46">
        <v>4.0</v>
      </c>
      <c r="G30" s="48">
        <f t="shared" si="1"/>
        <v>3</v>
      </c>
      <c r="H30" s="51" t="s">
        <v>241</v>
      </c>
      <c r="I30" s="52"/>
      <c r="J30" s="44" t="str">
        <f t="shared" si="2"/>
        <v/>
      </c>
    </row>
    <row r="31">
      <c r="A31" s="44">
        <v>16.0</v>
      </c>
      <c r="B31" s="72" t="s">
        <v>188</v>
      </c>
      <c r="C31" s="44" t="s">
        <v>245</v>
      </c>
      <c r="D31" s="44" t="s">
        <v>246</v>
      </c>
      <c r="E31" s="44">
        <v>2.0</v>
      </c>
      <c r="F31" s="46">
        <v>4.0</v>
      </c>
      <c r="G31" s="48">
        <f t="shared" si="1"/>
        <v>2</v>
      </c>
      <c r="H31" s="51" t="s">
        <v>248</v>
      </c>
      <c r="I31" s="52"/>
      <c r="J31" s="44" t="str">
        <f t="shared" si="2"/>
        <v/>
      </c>
    </row>
    <row r="32">
      <c r="A32" s="44">
        <v>17.0</v>
      </c>
      <c r="B32" s="72" t="s">
        <v>188</v>
      </c>
      <c r="C32" s="44" t="s">
        <v>252</v>
      </c>
      <c r="D32" s="44" t="s">
        <v>253</v>
      </c>
      <c r="E32" s="44">
        <v>1.0</v>
      </c>
      <c r="F32" s="46">
        <v>4.0</v>
      </c>
      <c r="G32" s="48">
        <f t="shared" si="1"/>
        <v>1</v>
      </c>
      <c r="H32" s="78" t="s">
        <v>254</v>
      </c>
      <c r="I32" s="79" t="s">
        <v>264</v>
      </c>
      <c r="J32" s="44" t="str">
        <f t="shared" si="2"/>
        <v/>
      </c>
    </row>
    <row r="33">
      <c r="A33" s="44">
        <v>18.0</v>
      </c>
      <c r="B33" s="81" t="s">
        <v>267</v>
      </c>
      <c r="C33" s="44" t="s">
        <v>270</v>
      </c>
      <c r="D33" s="44" t="s">
        <v>271</v>
      </c>
      <c r="E33" s="44">
        <v>4.0</v>
      </c>
      <c r="F33" s="46">
        <v>4.0</v>
      </c>
      <c r="G33" s="48">
        <f t="shared" si="1"/>
        <v>4</v>
      </c>
      <c r="H33" s="78" t="s">
        <v>278</v>
      </c>
      <c r="I33" s="52"/>
      <c r="J33" s="44" t="str">
        <f t="shared" si="2"/>
        <v/>
      </c>
    </row>
    <row r="34">
      <c r="A34" s="44">
        <v>19.0</v>
      </c>
      <c r="B34" s="81" t="s">
        <v>267</v>
      </c>
      <c r="C34" s="44" t="s">
        <v>282</v>
      </c>
      <c r="D34" s="44" t="s">
        <v>283</v>
      </c>
      <c r="E34" s="44">
        <v>6.0</v>
      </c>
      <c r="F34" s="46">
        <v>4.0</v>
      </c>
      <c r="G34" s="48">
        <f t="shared" si="1"/>
        <v>6</v>
      </c>
      <c r="H34" s="51" t="s">
        <v>285</v>
      </c>
      <c r="I34" s="52"/>
      <c r="J34" s="44" t="str">
        <f t="shared" si="2"/>
        <v/>
      </c>
    </row>
    <row r="35">
      <c r="A35" s="44">
        <v>20.0</v>
      </c>
      <c r="B35" s="81" t="s">
        <v>267</v>
      </c>
      <c r="C35" s="44" t="s">
        <v>287</v>
      </c>
      <c r="D35" s="44" t="s">
        <v>288</v>
      </c>
      <c r="E35" s="44">
        <v>3.0</v>
      </c>
      <c r="F35" s="46">
        <v>4.0</v>
      </c>
      <c r="G35" s="48">
        <f t="shared" si="1"/>
        <v>3</v>
      </c>
      <c r="H35" s="51" t="s">
        <v>291</v>
      </c>
      <c r="I35" s="52"/>
      <c r="J35" s="44" t="str">
        <f t="shared" si="2"/>
        <v/>
      </c>
    </row>
    <row r="36">
      <c r="A36" s="44">
        <v>21.0</v>
      </c>
      <c r="B36" s="81" t="s">
        <v>267</v>
      </c>
      <c r="C36" s="44" t="s">
        <v>301</v>
      </c>
      <c r="D36" s="44" t="s">
        <v>302</v>
      </c>
      <c r="E36" s="44">
        <v>2.0</v>
      </c>
      <c r="F36" s="46">
        <v>4.0</v>
      </c>
      <c r="G36" s="48">
        <f t="shared" si="1"/>
        <v>2</v>
      </c>
      <c r="H36" s="51" t="s">
        <v>303</v>
      </c>
      <c r="I36" s="52"/>
      <c r="J36" s="44" t="str">
        <f t="shared" si="2"/>
        <v/>
      </c>
    </row>
    <row r="37">
      <c r="A37" s="44">
        <v>22.0</v>
      </c>
      <c r="B37" s="84" t="s">
        <v>314</v>
      </c>
      <c r="C37" s="44" t="s">
        <v>316</v>
      </c>
      <c r="D37" s="44" t="s">
        <v>317</v>
      </c>
      <c r="E37" s="44">
        <v>3.0</v>
      </c>
      <c r="F37" s="46">
        <v>4.0</v>
      </c>
      <c r="G37" s="48">
        <f t="shared" si="1"/>
        <v>3</v>
      </c>
      <c r="H37" s="51" t="s">
        <v>318</v>
      </c>
      <c r="I37" s="52"/>
      <c r="J37" s="44" t="str">
        <f t="shared" si="2"/>
        <v/>
      </c>
    </row>
    <row r="38">
      <c r="A38" s="44">
        <v>23.0</v>
      </c>
      <c r="B38" s="84" t="s">
        <v>314</v>
      </c>
      <c r="C38" s="44" t="s">
        <v>321</v>
      </c>
      <c r="D38" s="44" t="s">
        <v>322</v>
      </c>
      <c r="E38" s="44">
        <v>2.0</v>
      </c>
      <c r="F38" s="46">
        <v>4.0</v>
      </c>
      <c r="G38" s="48">
        <f t="shared" si="1"/>
        <v>2</v>
      </c>
      <c r="H38" s="52"/>
      <c r="I38" s="52"/>
      <c r="J38" s="44" t="str">
        <f t="shared" si="2"/>
        <v>Thiếu minh chứng</v>
      </c>
    </row>
    <row r="39">
      <c r="A39" s="44">
        <v>24.0</v>
      </c>
      <c r="B39" s="85" t="s">
        <v>325</v>
      </c>
      <c r="C39" s="44" t="s">
        <v>326</v>
      </c>
      <c r="D39" s="44" t="s">
        <v>327</v>
      </c>
      <c r="E39" s="44">
        <v>5.0</v>
      </c>
      <c r="F39" s="46">
        <v>4.0</v>
      </c>
      <c r="G39" s="48">
        <f t="shared" si="1"/>
        <v>5</v>
      </c>
      <c r="H39" s="51" t="s">
        <v>331</v>
      </c>
      <c r="I39" s="52"/>
      <c r="J39" s="44" t="str">
        <f t="shared" si="2"/>
        <v/>
      </c>
    </row>
    <row r="40">
      <c r="A40" s="86" t="s">
        <v>109</v>
      </c>
      <c r="B40" s="87"/>
      <c r="C40" s="87"/>
      <c r="D40" s="36"/>
      <c r="E40" s="89">
        <f>SUM(E16:E39)</f>
        <v>100</v>
      </c>
      <c r="F40" s="89"/>
      <c r="G40" s="89">
        <f>ROUND(SUM(G16:G39),1)</f>
        <v>100</v>
      </c>
      <c r="H40" s="90"/>
      <c r="I40" s="89"/>
      <c r="J40" s="89"/>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row r="197">
      <c r="H197" s="5"/>
    </row>
    <row r="198">
      <c r="H198" s="5"/>
    </row>
    <row r="199">
      <c r="H199" s="5"/>
    </row>
    <row r="200">
      <c r="H200" s="5"/>
    </row>
    <row r="201">
      <c r="H201" s="5"/>
    </row>
    <row r="202">
      <c r="H202" s="5"/>
    </row>
    <row r="203">
      <c r="H203" s="5"/>
    </row>
    <row r="204">
      <c r="H204" s="5"/>
    </row>
    <row r="205">
      <c r="H205" s="5"/>
    </row>
    <row r="206">
      <c r="H206" s="5"/>
    </row>
    <row r="207">
      <c r="H207" s="5"/>
    </row>
    <row r="208">
      <c r="H208" s="5"/>
    </row>
    <row r="209">
      <c r="H209" s="5"/>
    </row>
    <row r="210">
      <c r="H210" s="5"/>
    </row>
    <row r="211">
      <c r="H211" s="5"/>
    </row>
    <row r="212">
      <c r="H212" s="5"/>
    </row>
    <row r="213">
      <c r="H213" s="5"/>
    </row>
    <row r="214">
      <c r="H214" s="5"/>
    </row>
    <row r="215">
      <c r="H215" s="5"/>
    </row>
    <row r="216">
      <c r="H216" s="5"/>
    </row>
    <row r="217">
      <c r="H217" s="5"/>
    </row>
    <row r="218">
      <c r="H218" s="5"/>
    </row>
    <row r="219">
      <c r="H219" s="5"/>
    </row>
    <row r="220">
      <c r="H220" s="5"/>
    </row>
    <row r="221">
      <c r="H221" s="5"/>
    </row>
    <row r="222">
      <c r="H222" s="5"/>
    </row>
    <row r="223">
      <c r="H223" s="5"/>
    </row>
    <row r="224">
      <c r="H224" s="5"/>
    </row>
    <row r="225">
      <c r="H225" s="5"/>
    </row>
    <row r="226">
      <c r="H226" s="5"/>
    </row>
    <row r="227">
      <c r="H227" s="5"/>
    </row>
    <row r="228">
      <c r="H228" s="5"/>
    </row>
    <row r="229">
      <c r="H229" s="5"/>
    </row>
    <row r="230">
      <c r="H230" s="5"/>
    </row>
    <row r="231">
      <c r="H231" s="5"/>
    </row>
    <row r="232">
      <c r="H232" s="5"/>
    </row>
    <row r="233">
      <c r="H233" s="5"/>
    </row>
    <row r="234">
      <c r="H234" s="5"/>
    </row>
    <row r="235">
      <c r="H235" s="5"/>
    </row>
    <row r="236">
      <c r="H236" s="5"/>
    </row>
    <row r="237">
      <c r="H237" s="5"/>
    </row>
    <row r="238">
      <c r="H238" s="5"/>
    </row>
    <row r="239">
      <c r="H239" s="5"/>
    </row>
    <row r="240">
      <c r="H240" s="5"/>
    </row>
    <row r="241">
      <c r="H241" s="5"/>
    </row>
    <row r="242">
      <c r="H242" s="5"/>
    </row>
    <row r="243">
      <c r="H243" s="5"/>
    </row>
    <row r="244">
      <c r="H244" s="5"/>
    </row>
    <row r="245">
      <c r="H245" s="5"/>
    </row>
    <row r="246">
      <c r="H246" s="5"/>
    </row>
    <row r="247">
      <c r="H247" s="5"/>
    </row>
    <row r="248">
      <c r="H248" s="5"/>
    </row>
    <row r="249">
      <c r="H249" s="5"/>
    </row>
    <row r="250">
      <c r="H250" s="5"/>
    </row>
    <row r="251">
      <c r="H251" s="5"/>
    </row>
    <row r="252">
      <c r="H252" s="5"/>
    </row>
    <row r="253">
      <c r="H253" s="5"/>
    </row>
    <row r="254">
      <c r="H254" s="5"/>
    </row>
    <row r="255">
      <c r="H255" s="5"/>
    </row>
    <row r="256">
      <c r="H256" s="5"/>
    </row>
    <row r="257">
      <c r="H257" s="5"/>
    </row>
    <row r="258">
      <c r="H258" s="5"/>
    </row>
    <row r="259">
      <c r="H259" s="5"/>
    </row>
    <row r="260">
      <c r="H260" s="5"/>
    </row>
    <row r="261">
      <c r="H261" s="5"/>
    </row>
    <row r="262">
      <c r="H262" s="5"/>
    </row>
    <row r="263">
      <c r="H263" s="5"/>
    </row>
    <row r="264">
      <c r="H264" s="5"/>
    </row>
    <row r="265">
      <c r="H265" s="5"/>
    </row>
    <row r="266">
      <c r="H266" s="5"/>
    </row>
    <row r="267">
      <c r="H267" s="5"/>
    </row>
    <row r="268">
      <c r="H268" s="5"/>
    </row>
    <row r="269">
      <c r="H269" s="5"/>
    </row>
    <row r="270">
      <c r="H270" s="5"/>
    </row>
    <row r="271">
      <c r="H271" s="5"/>
    </row>
    <row r="272">
      <c r="H272" s="5"/>
    </row>
    <row r="273">
      <c r="H273" s="5"/>
    </row>
    <row r="274">
      <c r="H274" s="5"/>
    </row>
    <row r="275">
      <c r="H275" s="5"/>
    </row>
    <row r="276">
      <c r="H276" s="5"/>
    </row>
    <row r="277">
      <c r="H277" s="5"/>
    </row>
    <row r="278">
      <c r="H278" s="5"/>
    </row>
    <row r="279">
      <c r="H279" s="5"/>
    </row>
    <row r="280">
      <c r="H280" s="5"/>
    </row>
    <row r="281">
      <c r="H281" s="5"/>
    </row>
    <row r="282">
      <c r="H282" s="5"/>
    </row>
    <row r="283">
      <c r="H283" s="5"/>
    </row>
    <row r="284">
      <c r="H284" s="5"/>
    </row>
    <row r="285">
      <c r="H285" s="5"/>
    </row>
    <row r="286">
      <c r="H286" s="5"/>
    </row>
    <row r="287">
      <c r="H287" s="5"/>
    </row>
    <row r="288">
      <c r="H288" s="5"/>
    </row>
    <row r="289">
      <c r="H289" s="5"/>
    </row>
    <row r="290">
      <c r="H290" s="5"/>
    </row>
    <row r="291">
      <c r="H291" s="5"/>
    </row>
    <row r="292">
      <c r="H292" s="5"/>
    </row>
    <row r="293">
      <c r="H293" s="5"/>
    </row>
    <row r="294">
      <c r="H294" s="5"/>
    </row>
    <row r="295">
      <c r="H295" s="5"/>
    </row>
    <row r="296">
      <c r="H296" s="5"/>
    </row>
    <row r="297">
      <c r="H297" s="5"/>
    </row>
    <row r="298">
      <c r="H298" s="5"/>
    </row>
    <row r="299">
      <c r="H299" s="5"/>
    </row>
    <row r="300">
      <c r="H300" s="5"/>
    </row>
    <row r="301">
      <c r="H301" s="5"/>
    </row>
    <row r="302">
      <c r="H302" s="5"/>
    </row>
    <row r="303">
      <c r="H303" s="5"/>
    </row>
    <row r="304">
      <c r="H304" s="5"/>
    </row>
    <row r="305">
      <c r="H305" s="5"/>
    </row>
    <row r="306">
      <c r="H306" s="5"/>
    </row>
    <row r="307">
      <c r="H307" s="5"/>
    </row>
    <row r="308">
      <c r="H308" s="5"/>
    </row>
    <row r="309">
      <c r="H309" s="5"/>
    </row>
    <row r="310">
      <c r="H310" s="5"/>
    </row>
    <row r="311">
      <c r="H311" s="5"/>
    </row>
    <row r="312">
      <c r="H312" s="5"/>
    </row>
    <row r="313">
      <c r="H313" s="5"/>
    </row>
    <row r="314">
      <c r="H314" s="5"/>
    </row>
    <row r="315">
      <c r="H315" s="5"/>
    </row>
    <row r="316">
      <c r="H316" s="5"/>
    </row>
    <row r="317">
      <c r="H317" s="5"/>
    </row>
    <row r="318">
      <c r="H318" s="5"/>
    </row>
    <row r="319">
      <c r="H319" s="5"/>
    </row>
    <row r="320">
      <c r="H320" s="5"/>
    </row>
    <row r="321">
      <c r="H321" s="5"/>
    </row>
    <row r="322">
      <c r="H322" s="5"/>
    </row>
    <row r="323">
      <c r="H323" s="5"/>
    </row>
    <row r="324">
      <c r="H324" s="5"/>
    </row>
    <row r="325">
      <c r="H325" s="5"/>
    </row>
    <row r="326">
      <c r="H326" s="5"/>
    </row>
    <row r="327">
      <c r="H327" s="5"/>
    </row>
    <row r="328">
      <c r="H328" s="5"/>
    </row>
    <row r="329">
      <c r="H329" s="5"/>
    </row>
    <row r="330">
      <c r="H330" s="5"/>
    </row>
    <row r="331">
      <c r="H331" s="5"/>
    </row>
    <row r="332">
      <c r="H332" s="5"/>
    </row>
    <row r="333">
      <c r="H333" s="5"/>
    </row>
    <row r="334">
      <c r="H334" s="5"/>
    </row>
    <row r="335">
      <c r="H335" s="5"/>
    </row>
    <row r="336">
      <c r="H336" s="5"/>
    </row>
    <row r="337">
      <c r="H337" s="5"/>
    </row>
    <row r="338">
      <c r="H338" s="5"/>
    </row>
    <row r="339">
      <c r="H339" s="5"/>
    </row>
    <row r="340">
      <c r="H340" s="5"/>
    </row>
    <row r="341">
      <c r="H341" s="5"/>
    </row>
    <row r="342">
      <c r="H342" s="5"/>
    </row>
    <row r="343">
      <c r="H343" s="5"/>
    </row>
    <row r="344">
      <c r="H344" s="5"/>
    </row>
    <row r="345">
      <c r="H345" s="5"/>
    </row>
    <row r="346">
      <c r="H346" s="5"/>
    </row>
    <row r="347">
      <c r="H347" s="5"/>
    </row>
    <row r="348">
      <c r="H348" s="5"/>
    </row>
    <row r="349">
      <c r="H349" s="5"/>
    </row>
    <row r="350">
      <c r="H350" s="5"/>
    </row>
    <row r="351">
      <c r="H351" s="5"/>
    </row>
    <row r="352">
      <c r="H352" s="5"/>
    </row>
    <row r="353">
      <c r="H353" s="5"/>
    </row>
    <row r="354">
      <c r="H354" s="5"/>
    </row>
    <row r="355">
      <c r="H355" s="5"/>
    </row>
    <row r="356">
      <c r="H356" s="5"/>
    </row>
    <row r="357">
      <c r="H357" s="5"/>
    </row>
    <row r="358">
      <c r="H358" s="5"/>
    </row>
    <row r="359">
      <c r="H359" s="5"/>
    </row>
    <row r="360">
      <c r="H360" s="5"/>
    </row>
    <row r="361">
      <c r="H361" s="5"/>
    </row>
    <row r="362">
      <c r="H362" s="5"/>
    </row>
    <row r="363">
      <c r="H363" s="5"/>
    </row>
    <row r="364">
      <c r="H364" s="5"/>
    </row>
    <row r="365">
      <c r="H365" s="5"/>
    </row>
    <row r="366">
      <c r="H366" s="5"/>
    </row>
    <row r="367">
      <c r="H367" s="5"/>
    </row>
    <row r="368">
      <c r="H368" s="5"/>
    </row>
    <row r="369">
      <c r="H369" s="5"/>
    </row>
    <row r="370">
      <c r="H370" s="5"/>
    </row>
    <row r="371">
      <c r="H371" s="5"/>
    </row>
    <row r="372">
      <c r="H372" s="5"/>
    </row>
    <row r="373">
      <c r="H373" s="5"/>
    </row>
    <row r="374">
      <c r="H374" s="5"/>
    </row>
    <row r="375">
      <c r="H375" s="5"/>
    </row>
    <row r="376">
      <c r="H376" s="5"/>
    </row>
    <row r="377">
      <c r="H377" s="5"/>
    </row>
    <row r="378">
      <c r="H378" s="5"/>
    </row>
    <row r="379">
      <c r="H379" s="5"/>
    </row>
    <row r="380">
      <c r="H380" s="5"/>
    </row>
    <row r="381">
      <c r="H381" s="5"/>
    </row>
    <row r="382">
      <c r="H382" s="5"/>
    </row>
    <row r="383">
      <c r="H383" s="5"/>
    </row>
    <row r="384">
      <c r="H384" s="5"/>
    </row>
    <row r="385">
      <c r="H385" s="5"/>
    </row>
    <row r="386">
      <c r="H386" s="5"/>
    </row>
    <row r="387">
      <c r="H387" s="5"/>
    </row>
    <row r="388">
      <c r="H388" s="5"/>
    </row>
    <row r="389">
      <c r="H389" s="5"/>
    </row>
    <row r="390">
      <c r="H390" s="5"/>
    </row>
    <row r="391">
      <c r="H391" s="5"/>
    </row>
    <row r="392">
      <c r="H392" s="5"/>
    </row>
    <row r="393">
      <c r="H393" s="5"/>
    </row>
    <row r="394">
      <c r="H394" s="5"/>
    </row>
    <row r="395">
      <c r="H395" s="5"/>
    </row>
    <row r="396">
      <c r="H396" s="5"/>
    </row>
    <row r="397">
      <c r="H397" s="5"/>
    </row>
    <row r="398">
      <c r="H398" s="5"/>
    </row>
    <row r="399">
      <c r="H399" s="5"/>
    </row>
    <row r="400">
      <c r="H400" s="5"/>
    </row>
    <row r="401">
      <c r="H401" s="5"/>
    </row>
    <row r="402">
      <c r="H402" s="5"/>
    </row>
    <row r="403">
      <c r="H403" s="5"/>
    </row>
    <row r="404">
      <c r="H404" s="5"/>
    </row>
    <row r="405">
      <c r="H405" s="5"/>
    </row>
    <row r="406">
      <c r="H406" s="5"/>
    </row>
    <row r="407">
      <c r="H407" s="5"/>
    </row>
    <row r="408">
      <c r="H408" s="5"/>
    </row>
    <row r="409">
      <c r="H409" s="5"/>
    </row>
    <row r="410">
      <c r="H410" s="5"/>
    </row>
    <row r="411">
      <c r="H411" s="5"/>
    </row>
    <row r="412">
      <c r="H412" s="5"/>
    </row>
    <row r="413">
      <c r="H413" s="5"/>
    </row>
    <row r="414">
      <c r="H414" s="5"/>
    </row>
    <row r="415">
      <c r="H415" s="5"/>
    </row>
    <row r="416">
      <c r="H416" s="5"/>
    </row>
    <row r="417">
      <c r="H417" s="5"/>
    </row>
    <row r="418">
      <c r="H418" s="5"/>
    </row>
    <row r="419">
      <c r="H419" s="5"/>
    </row>
    <row r="420">
      <c r="H420" s="5"/>
    </row>
    <row r="421">
      <c r="H421" s="5"/>
    </row>
    <row r="422">
      <c r="H422" s="5"/>
    </row>
    <row r="423">
      <c r="H423" s="5"/>
    </row>
    <row r="424">
      <c r="H424" s="5"/>
    </row>
    <row r="425">
      <c r="H425" s="5"/>
    </row>
    <row r="426">
      <c r="H426" s="5"/>
    </row>
    <row r="427">
      <c r="H427" s="5"/>
    </row>
    <row r="428">
      <c r="H428" s="5"/>
    </row>
    <row r="429">
      <c r="H429" s="5"/>
    </row>
    <row r="430">
      <c r="H430" s="5"/>
    </row>
    <row r="431">
      <c r="H431" s="5"/>
    </row>
    <row r="432">
      <c r="H432" s="5"/>
    </row>
    <row r="433">
      <c r="H433" s="5"/>
    </row>
    <row r="434">
      <c r="H434" s="5"/>
    </row>
    <row r="435">
      <c r="H435" s="5"/>
    </row>
    <row r="436">
      <c r="H436" s="5"/>
    </row>
    <row r="437">
      <c r="H437" s="5"/>
    </row>
    <row r="438">
      <c r="H438" s="5"/>
    </row>
    <row r="439">
      <c r="H439" s="5"/>
    </row>
    <row r="440">
      <c r="H440" s="5"/>
    </row>
    <row r="441">
      <c r="H441" s="5"/>
    </row>
    <row r="442">
      <c r="H442" s="5"/>
    </row>
    <row r="443">
      <c r="H443" s="5"/>
    </row>
    <row r="444">
      <c r="H444" s="5"/>
    </row>
    <row r="445">
      <c r="H445" s="5"/>
    </row>
    <row r="446">
      <c r="H446" s="5"/>
    </row>
    <row r="447">
      <c r="H447" s="5"/>
    </row>
    <row r="448">
      <c r="H448" s="5"/>
    </row>
    <row r="449">
      <c r="H449" s="5"/>
    </row>
    <row r="450">
      <c r="H450" s="5"/>
    </row>
    <row r="451">
      <c r="H451" s="5"/>
    </row>
    <row r="452">
      <c r="H452" s="5"/>
    </row>
    <row r="453">
      <c r="H453" s="5"/>
    </row>
    <row r="454">
      <c r="H454" s="5"/>
    </row>
    <row r="455">
      <c r="H455" s="5"/>
    </row>
    <row r="456">
      <c r="H456" s="5"/>
    </row>
    <row r="457">
      <c r="H457" s="5"/>
    </row>
    <row r="458">
      <c r="H458" s="5"/>
    </row>
    <row r="459">
      <c r="H459" s="5"/>
    </row>
    <row r="460">
      <c r="H460" s="5"/>
    </row>
    <row r="461">
      <c r="H461" s="5"/>
    </row>
    <row r="462">
      <c r="H462" s="5"/>
    </row>
    <row r="463">
      <c r="H463" s="5"/>
    </row>
    <row r="464">
      <c r="H464" s="5"/>
    </row>
    <row r="465">
      <c r="H465" s="5"/>
    </row>
    <row r="466">
      <c r="H466" s="5"/>
    </row>
    <row r="467">
      <c r="H467" s="5"/>
    </row>
    <row r="468">
      <c r="H468" s="5"/>
    </row>
    <row r="469">
      <c r="H469" s="5"/>
    </row>
    <row r="470">
      <c r="H470" s="5"/>
    </row>
    <row r="471">
      <c r="H471" s="5"/>
    </row>
    <row r="472">
      <c r="H472" s="5"/>
    </row>
    <row r="473">
      <c r="H473" s="5"/>
    </row>
    <row r="474">
      <c r="H474" s="5"/>
    </row>
    <row r="475">
      <c r="H475" s="5"/>
    </row>
    <row r="476">
      <c r="H476" s="5"/>
    </row>
    <row r="477">
      <c r="H477" s="5"/>
    </row>
    <row r="478">
      <c r="H478" s="5"/>
    </row>
    <row r="479">
      <c r="H479" s="5"/>
    </row>
    <row r="480">
      <c r="H480" s="5"/>
    </row>
    <row r="481">
      <c r="H481" s="5"/>
    </row>
    <row r="482">
      <c r="H482" s="5"/>
    </row>
    <row r="483">
      <c r="H483" s="5"/>
    </row>
    <row r="484">
      <c r="H484" s="5"/>
    </row>
    <row r="485">
      <c r="H485" s="5"/>
    </row>
    <row r="486">
      <c r="H486" s="5"/>
    </row>
    <row r="487">
      <c r="H487" s="5"/>
    </row>
    <row r="488">
      <c r="H488" s="5"/>
    </row>
    <row r="489">
      <c r="H489" s="5"/>
    </row>
    <row r="490">
      <c r="H490" s="5"/>
    </row>
    <row r="491">
      <c r="H491" s="5"/>
    </row>
    <row r="492">
      <c r="H492" s="5"/>
    </row>
    <row r="493">
      <c r="H493" s="5"/>
    </row>
    <row r="494">
      <c r="H494" s="5"/>
    </row>
    <row r="495">
      <c r="H495" s="5"/>
    </row>
    <row r="496">
      <c r="H496" s="5"/>
    </row>
    <row r="497">
      <c r="H497" s="5"/>
    </row>
    <row r="498">
      <c r="H498" s="5"/>
    </row>
    <row r="499">
      <c r="H499" s="5"/>
    </row>
    <row r="500">
      <c r="H500" s="5"/>
    </row>
    <row r="501">
      <c r="H501" s="5"/>
    </row>
    <row r="502">
      <c r="H502" s="5"/>
    </row>
    <row r="503">
      <c r="H503" s="5"/>
    </row>
    <row r="504">
      <c r="H504" s="5"/>
    </row>
    <row r="505">
      <c r="H505" s="5"/>
    </row>
    <row r="506">
      <c r="H506" s="5"/>
    </row>
    <row r="507">
      <c r="H507" s="5"/>
    </row>
    <row r="508">
      <c r="H508" s="5"/>
    </row>
    <row r="509">
      <c r="H509" s="5"/>
    </row>
    <row r="510">
      <c r="H510" s="5"/>
    </row>
    <row r="511">
      <c r="H511" s="5"/>
    </row>
    <row r="512">
      <c r="H512" s="5"/>
    </row>
    <row r="513">
      <c r="H513" s="5"/>
    </row>
    <row r="514">
      <c r="H514" s="5"/>
    </row>
    <row r="515">
      <c r="H515" s="5"/>
    </row>
    <row r="516">
      <c r="H516" s="5"/>
    </row>
    <row r="517">
      <c r="H517" s="5"/>
    </row>
    <row r="518">
      <c r="H518" s="5"/>
    </row>
    <row r="519">
      <c r="H519" s="5"/>
    </row>
    <row r="520">
      <c r="H520" s="5"/>
    </row>
    <row r="521">
      <c r="H521" s="5"/>
    </row>
    <row r="522">
      <c r="H522" s="5"/>
    </row>
    <row r="523">
      <c r="H523" s="5"/>
    </row>
    <row r="524">
      <c r="H524" s="5"/>
    </row>
    <row r="525">
      <c r="H525" s="5"/>
    </row>
    <row r="526">
      <c r="H526" s="5"/>
    </row>
    <row r="527">
      <c r="H527" s="5"/>
    </row>
    <row r="528">
      <c r="H528" s="5"/>
    </row>
    <row r="529">
      <c r="H529" s="5"/>
    </row>
    <row r="530">
      <c r="H530" s="5"/>
    </row>
    <row r="531">
      <c r="H531" s="5"/>
    </row>
    <row r="532">
      <c r="H532" s="5"/>
    </row>
    <row r="533">
      <c r="H533" s="5"/>
    </row>
    <row r="534">
      <c r="H534" s="5"/>
    </row>
    <row r="535">
      <c r="H535" s="5"/>
    </row>
    <row r="536">
      <c r="H536" s="5"/>
    </row>
    <row r="537">
      <c r="H537" s="5"/>
    </row>
    <row r="538">
      <c r="H538" s="5"/>
    </row>
    <row r="539">
      <c r="H539" s="5"/>
    </row>
    <row r="540">
      <c r="H540" s="5"/>
    </row>
    <row r="541">
      <c r="H541" s="5"/>
    </row>
    <row r="542">
      <c r="H542" s="5"/>
    </row>
    <row r="543">
      <c r="H543" s="5"/>
    </row>
    <row r="544">
      <c r="H544" s="5"/>
    </row>
    <row r="545">
      <c r="H545" s="5"/>
    </row>
    <row r="546">
      <c r="H546" s="5"/>
    </row>
    <row r="547">
      <c r="H547" s="5"/>
    </row>
    <row r="548">
      <c r="H548" s="5"/>
    </row>
    <row r="549">
      <c r="H549" s="5"/>
    </row>
    <row r="550">
      <c r="H550" s="5"/>
    </row>
    <row r="551">
      <c r="H551" s="5"/>
    </row>
    <row r="552">
      <c r="H552" s="5"/>
    </row>
    <row r="553">
      <c r="H553" s="5"/>
    </row>
    <row r="554">
      <c r="H554" s="5"/>
    </row>
    <row r="555">
      <c r="H555" s="5"/>
    </row>
    <row r="556">
      <c r="H556" s="5"/>
    </row>
    <row r="557">
      <c r="H557" s="5"/>
    </row>
    <row r="558">
      <c r="H558" s="5"/>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mergeCells count="31">
    <mergeCell ref="E4:F4"/>
    <mergeCell ref="G4:J4"/>
    <mergeCell ref="A1:J1"/>
    <mergeCell ref="A3:B3"/>
    <mergeCell ref="C3:D3"/>
    <mergeCell ref="E3:F3"/>
    <mergeCell ref="G3:J3"/>
    <mergeCell ref="A4:B4"/>
    <mergeCell ref="C4:D4"/>
    <mergeCell ref="A5:B5"/>
    <mergeCell ref="C5:D5"/>
    <mergeCell ref="E5:F5"/>
    <mergeCell ref="G5:J5"/>
    <mergeCell ref="A6:B6"/>
    <mergeCell ref="C6:D6"/>
    <mergeCell ref="G6:J6"/>
    <mergeCell ref="E10:F10"/>
    <mergeCell ref="G10:H10"/>
    <mergeCell ref="I10:J11"/>
    <mergeCell ref="A11:B11"/>
    <mergeCell ref="C11:D11"/>
    <mergeCell ref="E11:F11"/>
    <mergeCell ref="G11:H11"/>
    <mergeCell ref="A40:D40"/>
    <mergeCell ref="E6:F6"/>
    <mergeCell ref="E7:F7"/>
    <mergeCell ref="G7:J7"/>
    <mergeCell ref="A8:J8"/>
    <mergeCell ref="L9:M9"/>
    <mergeCell ref="A10:B10"/>
    <mergeCell ref="C10:D10"/>
  </mergeCells>
  <conditionalFormatting sqref="J16:J39">
    <cfRule type="expression" dxfId="1" priority="1">
      <formula>J16="Thiếu minh chứng"</formula>
    </cfRule>
  </conditionalFormatting>
  <dataValidations>
    <dataValidation type="list" allowBlank="1" sqref="F16:F39">
      <formula1>"0,1,2,3,4"</formula1>
    </dataValidation>
  </dataValidations>
  <hyperlinks>
    <hyperlink r:id="rId1" ref="G3"/>
    <hyperlink r:id="rId2" ref="G6"/>
    <hyperlink r:id="rId3" ref="H16"/>
    <hyperlink r:id="rId4" ref="H17"/>
    <hyperlink r:id="rId5" ref="H18"/>
    <hyperlink r:id="rId6" ref="H19"/>
    <hyperlink r:id="rId7" location="L41" ref="H20"/>
    <hyperlink r:id="rId8" location="L18" ref="H21"/>
    <hyperlink r:id="rId9" location="L42" ref="H22"/>
    <hyperlink r:id="rId10" location="L31" ref="H24"/>
    <hyperlink r:id="rId11" location="L5" ref="H26"/>
    <hyperlink r:id="rId12" location="L7" ref="H27"/>
    <hyperlink r:id="rId13" location="L63" ref="H28"/>
    <hyperlink r:id="rId14" location="L62" ref="H30"/>
    <hyperlink r:id="rId15" location="L155" ref="H31"/>
    <hyperlink r:id="rId16" ref="H32"/>
    <hyperlink r:id="rId17" location="L347" ref="H33"/>
    <hyperlink r:id="rId18" location="L29" ref="H34"/>
    <hyperlink r:id="rId19" location="L46" ref="H35"/>
    <hyperlink r:id="rId20" location="L37" ref="H36"/>
    <hyperlink r:id="rId21" location="L79" ref="H37"/>
    <hyperlink r:id="rId22" location="L80" ref="H39"/>
  </hyperlinks>
  <printOptions/>
  <pageMargins bottom="0.75" footer="0.0" header="0.0" left="0.7" right="0.7" top="0.75"/>
  <pageSetup orientation="landscape"/>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14.0"/>
    <col customWidth="1" min="3" max="3" width="24.0"/>
    <col customWidth="1" min="4" max="4" width="22.0"/>
    <col customWidth="1" min="5" max="5" width="14.0"/>
    <col customWidth="1" min="6" max="6" width="42.0"/>
    <col customWidth="1" min="7" max="7" width="32.0"/>
    <col customWidth="1" min="8" max="8" width="26.0"/>
    <col customWidth="1" min="9" max="26" width="8.63"/>
  </cols>
  <sheetData>
    <row r="1" ht="14.25" customHeight="1">
      <c r="A1" s="1" t="s">
        <v>0</v>
      </c>
      <c r="B1" s="3"/>
      <c r="C1" s="3"/>
      <c r="D1" s="3"/>
      <c r="E1" s="3"/>
      <c r="F1" s="3"/>
      <c r="G1" s="3"/>
      <c r="H1" s="4"/>
    </row>
    <row r="2" ht="14.25" customHeight="1"/>
    <row r="3" ht="14.25" customHeight="1">
      <c r="A3" s="6" t="s">
        <v>4</v>
      </c>
      <c r="B3" s="3"/>
      <c r="C3" s="3"/>
      <c r="D3" s="3"/>
      <c r="E3" s="3"/>
      <c r="F3" s="3"/>
      <c r="G3" s="3"/>
      <c r="H3" s="4"/>
    </row>
    <row r="4" ht="14.25" customHeight="1"/>
    <row r="5" ht="14.25" customHeight="1">
      <c r="A5" s="9" t="s">
        <v>6</v>
      </c>
      <c r="B5" s="9" t="s">
        <v>9</v>
      </c>
      <c r="C5" s="9" t="s">
        <v>10</v>
      </c>
      <c r="D5" s="9" t="s">
        <v>12</v>
      </c>
      <c r="E5" s="9" t="s">
        <v>14</v>
      </c>
      <c r="F5" s="9" t="s">
        <v>16</v>
      </c>
      <c r="G5" s="9" t="s">
        <v>18</v>
      </c>
      <c r="H5" s="9" t="s">
        <v>20</v>
      </c>
    </row>
    <row r="6" ht="49.5" customHeight="1">
      <c r="A6" s="13">
        <v>1.0</v>
      </c>
      <c r="B6" s="14">
        <v>2.3127221E7</v>
      </c>
      <c r="C6" s="14" t="s">
        <v>26</v>
      </c>
      <c r="D6" s="15"/>
      <c r="E6" s="16">
        <v>0.25</v>
      </c>
      <c r="F6" s="15"/>
      <c r="G6" s="15"/>
      <c r="H6" s="15"/>
    </row>
    <row r="7" ht="49.5" customHeight="1">
      <c r="A7" s="13">
        <v>2.0</v>
      </c>
      <c r="B7" s="14">
        <v>2.3127228E7</v>
      </c>
      <c r="C7" s="14" t="s">
        <v>36</v>
      </c>
      <c r="D7" s="15"/>
      <c r="E7" s="16">
        <v>0.25</v>
      </c>
      <c r="F7" s="15"/>
      <c r="G7" s="15"/>
      <c r="H7" s="15"/>
    </row>
    <row r="8" ht="49.5" customHeight="1">
      <c r="A8" s="13">
        <v>3.0</v>
      </c>
      <c r="B8" s="14">
        <v>2.3127281E7</v>
      </c>
      <c r="C8" s="14" t="s">
        <v>45</v>
      </c>
      <c r="D8" s="15"/>
      <c r="E8" s="16">
        <v>0.25</v>
      </c>
      <c r="F8" s="15"/>
      <c r="G8" s="15"/>
      <c r="H8" s="15"/>
    </row>
    <row r="9" ht="49.5" customHeight="1">
      <c r="A9" s="13">
        <v>4.0</v>
      </c>
      <c r="B9" s="14">
        <v>2.3127494E7</v>
      </c>
      <c r="C9" s="14" t="s">
        <v>54</v>
      </c>
      <c r="D9" s="15"/>
      <c r="E9" s="16">
        <v>0.25</v>
      </c>
      <c r="F9" s="15"/>
      <c r="G9" s="15"/>
      <c r="H9" s="15"/>
    </row>
    <row r="10" ht="49.5" customHeight="1">
      <c r="A10" s="13">
        <v>5.0</v>
      </c>
      <c r="B10" s="15"/>
      <c r="C10" s="15"/>
      <c r="D10" s="15"/>
      <c r="E10" s="22"/>
      <c r="F10" s="15"/>
      <c r="G10" s="15"/>
      <c r="H10" s="15"/>
    </row>
    <row r="11" ht="49.5" customHeight="1">
      <c r="A11" s="13">
        <v>6.0</v>
      </c>
      <c r="B11" s="15"/>
      <c r="C11" s="15"/>
      <c r="D11" s="15"/>
      <c r="E11" s="22"/>
      <c r="F11" s="15"/>
      <c r="G11" s="15"/>
      <c r="H11" s="15"/>
    </row>
    <row r="12" ht="49.5" customHeight="1">
      <c r="A12" s="13">
        <v>7.0</v>
      </c>
      <c r="B12" s="15"/>
      <c r="C12" s="15"/>
      <c r="D12" s="15"/>
      <c r="E12" s="22"/>
      <c r="F12" s="15"/>
      <c r="G12" s="15"/>
      <c r="H12" s="15"/>
    </row>
    <row r="13" ht="49.5" customHeight="1">
      <c r="A13" s="13">
        <v>8.0</v>
      </c>
      <c r="B13" s="15"/>
      <c r="C13" s="15"/>
      <c r="D13" s="15"/>
      <c r="E13" s="22"/>
      <c r="F13" s="15"/>
      <c r="G13" s="15"/>
      <c r="H13" s="15"/>
    </row>
    <row r="14" ht="49.5" customHeight="1">
      <c r="A14" s="13">
        <v>9.0</v>
      </c>
      <c r="B14" s="15"/>
      <c r="C14" s="15"/>
      <c r="D14" s="15"/>
      <c r="E14" s="22"/>
      <c r="F14" s="15"/>
      <c r="G14" s="15"/>
      <c r="H14" s="15"/>
    </row>
    <row r="15" ht="49.5" customHeight="1">
      <c r="A15" s="13">
        <v>10.0</v>
      </c>
      <c r="B15" s="15"/>
      <c r="C15" s="15"/>
      <c r="D15" s="15"/>
      <c r="E15" s="22"/>
      <c r="F15" s="15"/>
      <c r="G15" s="15"/>
      <c r="H15" s="15"/>
    </row>
    <row r="16" ht="14.25" customHeight="1">
      <c r="A16" s="27" t="s">
        <v>91</v>
      </c>
      <c r="B16" s="28"/>
      <c r="C16" s="28"/>
      <c r="D16" s="29"/>
      <c r="E16" s="33">
        <f>SUM(E6:E15)</f>
        <v>1</v>
      </c>
      <c r="F16" s="27" t="str">
        <f>IF(ABS(E16-1)&lt;0.0001,"OK – Tổng 100%","CẢNH BÁO – Tổng đóng góp phải bằng 100%")</f>
        <v>OK – Tổng 100%</v>
      </c>
      <c r="G16" s="28"/>
      <c r="H16" s="2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H1"/>
    <mergeCell ref="A3:H3"/>
    <mergeCell ref="A16:D16"/>
    <mergeCell ref="F16:H16"/>
  </mergeCells>
  <conditionalFormatting sqref="F16:H16">
    <cfRule type="expression" dxfId="1" priority="1">
      <formula>E16&lt;&gt;1</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34.0"/>
    <col customWidth="1" min="3" max="3" width="60.0"/>
    <col customWidth="1" min="4" max="4" width="14.0"/>
    <col customWidth="1" min="5" max="5" width="30.0"/>
    <col customWidth="1" min="6" max="6" width="22.0"/>
    <col customWidth="1" min="7" max="7" width="30.0"/>
    <col customWidth="1" min="8" max="26" width="8.63"/>
  </cols>
  <sheetData>
    <row r="1" ht="14.25" customHeight="1">
      <c r="A1" s="1" t="s">
        <v>1</v>
      </c>
      <c r="B1" s="3"/>
      <c r="C1" s="3"/>
      <c r="D1" s="3"/>
      <c r="E1" s="3"/>
      <c r="F1" s="3"/>
      <c r="G1" s="4"/>
    </row>
    <row r="2" ht="14.25" customHeight="1"/>
    <row r="3" ht="14.25" customHeight="1">
      <c r="A3" s="6" t="s">
        <v>27</v>
      </c>
      <c r="B3" s="3"/>
      <c r="C3" s="3"/>
      <c r="D3" s="3"/>
      <c r="E3" s="3"/>
      <c r="F3" s="3"/>
      <c r="G3" s="4"/>
    </row>
    <row r="4" ht="14.25" customHeight="1"/>
    <row r="5" ht="14.25" customHeight="1">
      <c r="A5" s="9" t="s">
        <v>32</v>
      </c>
      <c r="B5" s="9" t="s">
        <v>34</v>
      </c>
      <c r="C5" s="9" t="s">
        <v>35</v>
      </c>
      <c r="D5" s="9" t="s">
        <v>38</v>
      </c>
      <c r="E5" s="9" t="s">
        <v>18</v>
      </c>
      <c r="F5" s="9" t="s">
        <v>40</v>
      </c>
      <c r="G5" s="9" t="s">
        <v>20</v>
      </c>
    </row>
    <row r="6" ht="51.75" customHeight="1">
      <c r="A6" s="13">
        <v>1.0</v>
      </c>
      <c r="B6" s="13" t="s">
        <v>44</v>
      </c>
      <c r="C6" s="13" t="s">
        <v>46</v>
      </c>
      <c r="D6" s="19" t="s">
        <v>57</v>
      </c>
      <c r="E6" s="15"/>
      <c r="F6" s="15"/>
      <c r="G6" s="15"/>
    </row>
    <row r="7" ht="51.75" customHeight="1">
      <c r="A7" s="13">
        <v>2.0</v>
      </c>
      <c r="B7" s="13" t="s">
        <v>65</v>
      </c>
      <c r="C7" s="13" t="s">
        <v>66</v>
      </c>
      <c r="D7" s="19" t="s">
        <v>57</v>
      </c>
      <c r="E7" s="15"/>
      <c r="F7" s="15"/>
      <c r="G7" s="15"/>
    </row>
    <row r="8" ht="51.75" customHeight="1">
      <c r="A8" s="13">
        <v>3.0</v>
      </c>
      <c r="B8" s="13" t="s">
        <v>71</v>
      </c>
      <c r="C8" s="13" t="s">
        <v>72</v>
      </c>
      <c r="D8" s="19" t="s">
        <v>57</v>
      </c>
      <c r="E8" s="15"/>
      <c r="F8" s="15"/>
      <c r="G8" s="15"/>
    </row>
    <row r="9" ht="51.75" customHeight="1">
      <c r="A9" s="13">
        <v>4.0</v>
      </c>
      <c r="B9" s="13" t="s">
        <v>73</v>
      </c>
      <c r="C9" s="13" t="s">
        <v>74</v>
      </c>
      <c r="D9" s="19" t="s">
        <v>57</v>
      </c>
      <c r="E9" s="15"/>
      <c r="F9" s="15"/>
      <c r="G9" s="15"/>
    </row>
    <row r="10" ht="51.75" customHeight="1">
      <c r="A10" s="13">
        <v>5.0</v>
      </c>
      <c r="B10" s="13" t="s">
        <v>75</v>
      </c>
      <c r="C10" s="13" t="s">
        <v>77</v>
      </c>
      <c r="D10" s="19" t="s">
        <v>57</v>
      </c>
      <c r="E10" s="15"/>
      <c r="F10" s="15"/>
      <c r="G10" s="15"/>
    </row>
    <row r="11" ht="51.75" customHeight="1">
      <c r="A11" s="13">
        <v>6.0</v>
      </c>
      <c r="B11" s="13" t="s">
        <v>78</v>
      </c>
      <c r="C11" s="13" t="s">
        <v>80</v>
      </c>
      <c r="D11" s="19" t="s">
        <v>57</v>
      </c>
      <c r="E11" s="15"/>
      <c r="F11" s="15"/>
      <c r="G11" s="15"/>
    </row>
    <row r="12" ht="51.75" customHeight="1">
      <c r="A12" s="13">
        <v>7.0</v>
      </c>
      <c r="B12" s="13" t="s">
        <v>81</v>
      </c>
      <c r="C12" s="13" t="s">
        <v>83</v>
      </c>
      <c r="D12" s="19" t="s">
        <v>57</v>
      </c>
      <c r="E12" s="15"/>
      <c r="F12" s="15"/>
      <c r="G12" s="15"/>
    </row>
    <row r="13" ht="51.75" customHeight="1">
      <c r="A13" s="13">
        <v>8.0</v>
      </c>
      <c r="B13" s="13" t="s">
        <v>85</v>
      </c>
      <c r="C13" s="13" t="s">
        <v>86</v>
      </c>
      <c r="D13" s="19" t="s">
        <v>57</v>
      </c>
      <c r="E13" s="15"/>
      <c r="F13" s="15"/>
      <c r="G13" s="15"/>
    </row>
    <row r="14" ht="51.75" customHeight="1">
      <c r="A14" s="13">
        <v>9.0</v>
      </c>
      <c r="B14" s="13" t="s">
        <v>88</v>
      </c>
      <c r="C14" s="13" t="s">
        <v>90</v>
      </c>
      <c r="D14" s="19" t="s">
        <v>57</v>
      </c>
      <c r="E14" s="15"/>
      <c r="F14" s="15"/>
      <c r="G14" s="15"/>
    </row>
    <row r="15" ht="51.75" customHeight="1">
      <c r="A15" s="13">
        <v>10.0</v>
      </c>
      <c r="B15" s="13" t="s">
        <v>92</v>
      </c>
      <c r="C15" s="13" t="s">
        <v>93</v>
      </c>
      <c r="D15" s="19" t="s">
        <v>57</v>
      </c>
      <c r="E15" s="15"/>
      <c r="F15" s="15"/>
      <c r="G15" s="15"/>
    </row>
    <row r="16" ht="14.25" customHeight="1"/>
    <row r="17" ht="14.25" customHeight="1">
      <c r="A17" s="31" t="s">
        <v>94</v>
      </c>
      <c r="B17" s="3"/>
      <c r="C17" s="3"/>
      <c r="D17" s="3"/>
      <c r="E17" s="3"/>
      <c r="F17" s="3"/>
      <c r="G17" s="4"/>
    </row>
    <row r="18" ht="14.25" customHeight="1">
      <c r="A18" s="32" t="s">
        <v>96</v>
      </c>
      <c r="B18" s="32" t="s">
        <v>98</v>
      </c>
      <c r="C18" s="32" t="s">
        <v>99</v>
      </c>
      <c r="D18" s="32" t="s">
        <v>38</v>
      </c>
      <c r="E18" s="32" t="s">
        <v>18</v>
      </c>
      <c r="F18" s="32" t="s">
        <v>40</v>
      </c>
      <c r="G18" s="32" t="s">
        <v>20</v>
      </c>
    </row>
    <row r="19" ht="55.5" customHeight="1">
      <c r="A19" s="13">
        <v>1.0</v>
      </c>
      <c r="B19" s="13" t="s">
        <v>101</v>
      </c>
      <c r="C19" s="13" t="s">
        <v>102</v>
      </c>
      <c r="D19" s="19" t="s">
        <v>57</v>
      </c>
      <c r="E19" s="15"/>
      <c r="F19" s="15"/>
      <c r="G19" s="15"/>
    </row>
    <row r="20" ht="55.5" customHeight="1">
      <c r="A20" s="13">
        <v>2.0</v>
      </c>
      <c r="B20" s="13" t="s">
        <v>104</v>
      </c>
      <c r="C20" s="13" t="s">
        <v>105</v>
      </c>
      <c r="D20" s="19" t="s">
        <v>57</v>
      </c>
      <c r="E20" s="15"/>
      <c r="F20" s="15"/>
      <c r="G20" s="15"/>
    </row>
    <row r="21" ht="55.5" customHeight="1">
      <c r="A21" s="13">
        <v>3.0</v>
      </c>
      <c r="B21" s="13" t="s">
        <v>107</v>
      </c>
      <c r="C21" s="13" t="s">
        <v>108</v>
      </c>
      <c r="D21" s="19" t="s">
        <v>57</v>
      </c>
      <c r="E21" s="15"/>
      <c r="F21" s="15"/>
      <c r="G21" s="15"/>
    </row>
    <row r="22" ht="55.5" customHeight="1">
      <c r="A22" s="13">
        <v>4.0</v>
      </c>
      <c r="B22" s="13" t="s">
        <v>110</v>
      </c>
      <c r="C22" s="13" t="s">
        <v>111</v>
      </c>
      <c r="D22" s="19" t="s">
        <v>57</v>
      </c>
      <c r="E22" s="15"/>
      <c r="F22" s="15"/>
      <c r="G22" s="15"/>
    </row>
    <row r="23" ht="55.5" customHeight="1">
      <c r="A23" s="13">
        <v>5.0</v>
      </c>
      <c r="B23" s="13" t="s">
        <v>112</v>
      </c>
      <c r="C23" s="13" t="s">
        <v>113</v>
      </c>
      <c r="D23" s="19" t="s">
        <v>57</v>
      </c>
      <c r="E23" s="15"/>
      <c r="F23" s="15"/>
      <c r="G23" s="15"/>
    </row>
    <row r="24" ht="55.5" customHeight="1">
      <c r="A24" s="13">
        <v>6.0</v>
      </c>
      <c r="B24" s="13" t="s">
        <v>115</v>
      </c>
      <c r="C24" s="13" t="s">
        <v>117</v>
      </c>
      <c r="D24" s="19" t="s">
        <v>57</v>
      </c>
      <c r="E24" s="15"/>
      <c r="F24" s="15"/>
      <c r="G24" s="15"/>
    </row>
    <row r="25" ht="55.5" customHeight="1">
      <c r="A25" s="13">
        <v>7.0</v>
      </c>
      <c r="B25" s="13" t="s">
        <v>120</v>
      </c>
      <c r="C25" s="13" t="s">
        <v>121</v>
      </c>
      <c r="D25" s="19" t="s">
        <v>57</v>
      </c>
      <c r="E25" s="15"/>
      <c r="F25" s="15"/>
      <c r="G25" s="15"/>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G1"/>
    <mergeCell ref="A3:G3"/>
    <mergeCell ref="A17:G17"/>
  </mergeCells>
  <conditionalFormatting sqref="D6:D15">
    <cfRule type="expression" dxfId="0" priority="1">
      <formula>D6="Đạt"</formula>
    </cfRule>
  </conditionalFormatting>
  <conditionalFormatting sqref="D6:D15">
    <cfRule type="expression" dxfId="2" priority="2">
      <formula>D6="Một phần"</formula>
    </cfRule>
  </conditionalFormatting>
  <conditionalFormatting sqref="D6:D15">
    <cfRule type="expression" dxfId="1" priority="3">
      <formula>D6="Chưa"</formula>
    </cfRule>
  </conditionalFormatting>
  <dataValidations>
    <dataValidation type="list" allowBlank="1" sqref="D6:D15 D19:D25">
      <formula1>"Chưa,Một phần,Đạt"</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105.0"/>
    <col customWidth="1" min="3" max="26" width="8.63"/>
  </cols>
  <sheetData>
    <row r="1" ht="14.25" customHeight="1">
      <c r="A1" s="1" t="s">
        <v>2</v>
      </c>
      <c r="B1" s="4"/>
      <c r="C1" s="7"/>
      <c r="D1" s="7"/>
      <c r="E1" s="7"/>
      <c r="F1" s="7"/>
    </row>
    <row r="2" ht="14.25" customHeight="1"/>
    <row r="3" ht="54.75" customHeight="1">
      <c r="A3" s="10" t="s">
        <v>8</v>
      </c>
      <c r="B3" s="12" t="s">
        <v>11</v>
      </c>
    </row>
    <row r="4" ht="54.75" customHeight="1">
      <c r="A4" s="10" t="s">
        <v>17</v>
      </c>
      <c r="B4" s="12" t="s">
        <v>19</v>
      </c>
    </row>
    <row r="5" ht="54.75" customHeight="1">
      <c r="A5" s="10" t="s">
        <v>21</v>
      </c>
      <c r="B5" s="12" t="s">
        <v>22</v>
      </c>
    </row>
    <row r="6" ht="54.75" customHeight="1">
      <c r="A6" s="10" t="s">
        <v>23</v>
      </c>
      <c r="B6" s="12" t="s">
        <v>24</v>
      </c>
    </row>
    <row r="7" ht="54.75" customHeight="1">
      <c r="A7" s="10" t="s">
        <v>25</v>
      </c>
      <c r="B7" s="12" t="s">
        <v>28</v>
      </c>
    </row>
    <row r="8" ht="54.75" customHeight="1">
      <c r="A8" s="10" t="s">
        <v>29</v>
      </c>
      <c r="B8" s="12" t="s">
        <v>30</v>
      </c>
    </row>
    <row r="9" ht="54.75" customHeight="1">
      <c r="A9" s="10" t="s">
        <v>31</v>
      </c>
      <c r="B9" s="12" t="s">
        <v>33</v>
      </c>
    </row>
    <row r="10" ht="54.75" customHeight="1">
      <c r="A10" s="10" t="s">
        <v>37</v>
      </c>
      <c r="B10" s="12" t="s">
        <v>39</v>
      </c>
    </row>
    <row r="11" ht="54.75" customHeight="1">
      <c r="A11" s="10" t="s">
        <v>42</v>
      </c>
      <c r="B11" s="12" t="s">
        <v>43</v>
      </c>
    </row>
    <row r="12" ht="54.75" customHeight="1">
      <c r="A12" s="10" t="s">
        <v>47</v>
      </c>
      <c r="B12" s="12" t="s">
        <v>49</v>
      </c>
    </row>
    <row r="13" ht="54.75" customHeight="1">
      <c r="A13" s="10" t="s">
        <v>51</v>
      </c>
      <c r="B13" s="12" t="s">
        <v>53</v>
      </c>
    </row>
    <row r="14" ht="54.75" customHeight="1">
      <c r="A14" s="10" t="s">
        <v>55</v>
      </c>
      <c r="B14" s="12" t="s">
        <v>58</v>
      </c>
    </row>
    <row r="15" ht="54.75" customHeight="1">
      <c r="A15" s="10" t="s">
        <v>60</v>
      </c>
      <c r="B15" s="12" t="s">
        <v>61</v>
      </c>
    </row>
    <row r="16" ht="14.25" customHeight="1"/>
    <row r="17" ht="14.25" customHeight="1">
      <c r="A17" s="21" t="s">
        <v>62</v>
      </c>
      <c r="B17" s="24" t="s">
        <v>63</v>
      </c>
    </row>
    <row r="18" ht="14.25" customHeight="1">
      <c r="A18" s="21" t="s">
        <v>67</v>
      </c>
      <c r="B18" s="24" t="s">
        <v>68</v>
      </c>
    </row>
    <row r="19" ht="14.25" customHeight="1">
      <c r="A19" s="21" t="s">
        <v>69</v>
      </c>
      <c r="B19" s="24" t="s">
        <v>70</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2.0"/>
    <col customWidth="1" min="3" max="3" width="28.0"/>
    <col customWidth="1" min="4" max="4" width="30.0"/>
    <col customWidth="1" min="5" max="5" width="35.0"/>
    <col customWidth="1" min="6" max="6" width="24.0"/>
    <col customWidth="1" min="7" max="7" width="38.0"/>
    <col customWidth="1" min="8" max="8" width="34.0"/>
    <col customWidth="1" min="9" max="9" width="28.0"/>
    <col customWidth="1" min="10" max="10" width="34.0"/>
    <col customWidth="1" min="11" max="11" width="30.0"/>
    <col customWidth="1" min="12" max="12" width="32.0"/>
    <col customWidth="1" min="13" max="13" width="14.0"/>
    <col customWidth="1" min="14" max="14" width="16.0"/>
    <col customWidth="1" min="15" max="15" width="28.0"/>
    <col customWidth="1" min="16" max="26" width="8.63"/>
  </cols>
  <sheetData>
    <row r="1" ht="30.0" customHeight="1">
      <c r="A1" s="47" t="s">
        <v>133</v>
      </c>
      <c r="B1" s="3"/>
      <c r="C1" s="3"/>
      <c r="D1" s="3"/>
      <c r="E1" s="3"/>
      <c r="F1" s="3"/>
      <c r="G1" s="3"/>
      <c r="H1" s="3"/>
      <c r="I1" s="3"/>
      <c r="J1" s="3"/>
      <c r="K1" s="3"/>
      <c r="L1" s="3"/>
      <c r="M1" s="3"/>
      <c r="N1" s="3"/>
      <c r="O1" s="4"/>
    </row>
    <row r="2" ht="14.25" customHeight="1"/>
    <row r="3" ht="37.5" customHeight="1">
      <c r="A3" s="49" t="s">
        <v>135</v>
      </c>
      <c r="B3" s="3"/>
      <c r="C3" s="3"/>
      <c r="D3" s="3"/>
      <c r="E3" s="3"/>
      <c r="F3" s="3"/>
      <c r="G3" s="3"/>
      <c r="H3" s="3"/>
      <c r="I3" s="3"/>
      <c r="J3" s="3"/>
      <c r="K3" s="3"/>
      <c r="L3" s="3"/>
      <c r="M3" s="3"/>
      <c r="N3" s="3"/>
      <c r="O3" s="4"/>
    </row>
    <row r="4" ht="42.0" customHeight="1">
      <c r="A4" s="50" t="s">
        <v>136</v>
      </c>
      <c r="B4" s="3"/>
      <c r="C4" s="3"/>
      <c r="D4" s="3"/>
      <c r="E4" s="3"/>
      <c r="F4" s="3"/>
      <c r="G4" s="3"/>
      <c r="H4" s="3"/>
      <c r="I4" s="3"/>
      <c r="J4" s="3"/>
      <c r="K4" s="3"/>
      <c r="L4" s="3"/>
      <c r="M4" s="3"/>
      <c r="N4" s="3"/>
      <c r="O4" s="4"/>
    </row>
    <row r="5" ht="14.25" customHeight="1"/>
    <row r="6" ht="14.25" customHeight="1">
      <c r="A6" s="53" t="s">
        <v>137</v>
      </c>
      <c r="B6" s="54" t="s">
        <v>138</v>
      </c>
    </row>
    <row r="7" ht="14.25" customHeight="1">
      <c r="A7" s="55" t="s">
        <v>139</v>
      </c>
      <c r="B7" s="56">
        <f>COUNTIF(F11:F40,"Hoàn thành &amp; demo được")</f>
        <v>4</v>
      </c>
    </row>
    <row r="8" ht="14.25" customHeight="1">
      <c r="A8" s="57" t="s">
        <v>144</v>
      </c>
      <c r="B8" s="58">
        <f>COUNTIF(M11:M40,"Có")</f>
        <v>2</v>
      </c>
    </row>
    <row r="9" ht="14.25" customHeight="1"/>
    <row r="10" ht="48.0" customHeight="1">
      <c r="A10" s="59" t="s">
        <v>6</v>
      </c>
      <c r="B10" s="59" t="s">
        <v>147</v>
      </c>
      <c r="C10" s="59" t="s">
        <v>148</v>
      </c>
      <c r="D10" s="59" t="s">
        <v>149</v>
      </c>
      <c r="E10" s="59" t="s">
        <v>150</v>
      </c>
      <c r="F10" s="59" t="s">
        <v>38</v>
      </c>
      <c r="G10" s="59" t="s">
        <v>151</v>
      </c>
      <c r="H10" s="59" t="s">
        <v>152</v>
      </c>
      <c r="I10" s="59" t="s">
        <v>153</v>
      </c>
      <c r="J10" s="59" t="s">
        <v>154</v>
      </c>
      <c r="K10" s="59" t="s">
        <v>155</v>
      </c>
      <c r="L10" s="59" t="s">
        <v>156</v>
      </c>
      <c r="M10" s="59" t="s">
        <v>157</v>
      </c>
      <c r="N10" s="59" t="s">
        <v>159</v>
      </c>
      <c r="O10" s="59" t="s">
        <v>161</v>
      </c>
    </row>
    <row r="11" ht="78.0" customHeight="1">
      <c r="A11" s="60">
        <v>1.0</v>
      </c>
      <c r="B11" s="61" t="s">
        <v>162</v>
      </c>
      <c r="C11" s="61" t="s">
        <v>164</v>
      </c>
      <c r="D11" s="61" t="s">
        <v>165</v>
      </c>
      <c r="E11" s="61" t="s">
        <v>166</v>
      </c>
      <c r="F11" s="62" t="s">
        <v>167</v>
      </c>
      <c r="G11" s="63" t="s">
        <v>168</v>
      </c>
      <c r="H11" s="63" t="s">
        <v>170</v>
      </c>
      <c r="I11" s="63" t="s">
        <v>172</v>
      </c>
      <c r="J11" s="63" t="s">
        <v>173</v>
      </c>
      <c r="K11" s="63" t="s">
        <v>174</v>
      </c>
      <c r="L11" s="63" t="s">
        <v>175</v>
      </c>
      <c r="M11" s="64"/>
      <c r="N11" s="65"/>
      <c r="O11" s="66"/>
    </row>
    <row r="12" ht="78.0" customHeight="1">
      <c r="A12" s="67">
        <v>2.0</v>
      </c>
      <c r="B12" s="68" t="s">
        <v>162</v>
      </c>
      <c r="C12" s="68" t="s">
        <v>177</v>
      </c>
      <c r="D12" s="68" t="s">
        <v>178</v>
      </c>
      <c r="E12" s="68" t="s">
        <v>180</v>
      </c>
      <c r="F12" s="69"/>
      <c r="G12" s="69"/>
      <c r="H12" s="69"/>
      <c r="I12" s="69"/>
      <c r="J12" s="69"/>
      <c r="K12" s="69"/>
      <c r="L12" s="69"/>
      <c r="M12" s="69"/>
      <c r="N12" s="70"/>
      <c r="O12" s="71"/>
    </row>
    <row r="13" ht="78.0" customHeight="1">
      <c r="A13" s="67">
        <v>3.0</v>
      </c>
      <c r="B13" s="68" t="s">
        <v>162</v>
      </c>
      <c r="C13" s="68" t="s">
        <v>185</v>
      </c>
      <c r="D13" s="68" t="s">
        <v>178</v>
      </c>
      <c r="E13" s="68" t="s">
        <v>186</v>
      </c>
      <c r="F13" s="69"/>
      <c r="G13" s="69"/>
      <c r="H13" s="69"/>
      <c r="I13" s="69"/>
      <c r="J13" s="69"/>
      <c r="K13" s="69"/>
      <c r="L13" s="69"/>
      <c r="M13" s="69"/>
      <c r="N13" s="70"/>
      <c r="O13" s="71"/>
    </row>
    <row r="14" ht="78.0" customHeight="1">
      <c r="A14" s="67">
        <v>4.0</v>
      </c>
      <c r="B14" s="68" t="s">
        <v>162</v>
      </c>
      <c r="C14" s="68" t="s">
        <v>191</v>
      </c>
      <c r="D14" s="68" t="s">
        <v>178</v>
      </c>
      <c r="E14" s="68" t="s">
        <v>192</v>
      </c>
      <c r="F14" s="69"/>
      <c r="G14" s="69"/>
      <c r="H14" s="69"/>
      <c r="I14" s="69"/>
      <c r="J14" s="69"/>
      <c r="K14" s="69"/>
      <c r="L14" s="69"/>
      <c r="M14" s="69"/>
      <c r="N14" s="70"/>
      <c r="O14" s="71"/>
    </row>
    <row r="15" ht="78.0" customHeight="1">
      <c r="A15" s="67">
        <v>5.0</v>
      </c>
      <c r="B15" s="68" t="s">
        <v>162</v>
      </c>
      <c r="C15" s="68" t="s">
        <v>196</v>
      </c>
      <c r="D15" s="68" t="s">
        <v>197</v>
      </c>
      <c r="E15" s="68" t="s">
        <v>199</v>
      </c>
      <c r="F15" s="69"/>
      <c r="G15" s="69"/>
      <c r="H15" s="69"/>
      <c r="I15" s="69"/>
      <c r="J15" s="69"/>
      <c r="K15" s="69"/>
      <c r="L15" s="69"/>
      <c r="M15" s="69"/>
      <c r="N15" s="70"/>
      <c r="O15" s="71"/>
    </row>
    <row r="16" ht="78.0" customHeight="1">
      <c r="A16" s="67">
        <v>6.0</v>
      </c>
      <c r="B16" s="68" t="s">
        <v>162</v>
      </c>
      <c r="C16" s="68" t="s">
        <v>200</v>
      </c>
      <c r="D16" s="68" t="s">
        <v>201</v>
      </c>
      <c r="E16" s="68" t="s">
        <v>202</v>
      </c>
      <c r="F16" s="69"/>
      <c r="G16" s="69"/>
      <c r="H16" s="69"/>
      <c r="I16" s="69"/>
      <c r="J16" s="69"/>
      <c r="K16" s="69"/>
      <c r="L16" s="69"/>
      <c r="M16" s="69"/>
      <c r="N16" s="70"/>
      <c r="O16" s="71"/>
    </row>
    <row r="17" ht="78.0" customHeight="1">
      <c r="A17" s="67">
        <v>7.0</v>
      </c>
      <c r="B17" s="68" t="s">
        <v>162</v>
      </c>
      <c r="C17" s="68" t="s">
        <v>208</v>
      </c>
      <c r="D17" s="68" t="s">
        <v>197</v>
      </c>
      <c r="E17" s="68" t="s">
        <v>209</v>
      </c>
      <c r="F17" s="69"/>
      <c r="G17" s="69"/>
      <c r="H17" s="69"/>
      <c r="I17" s="69"/>
      <c r="J17" s="69"/>
      <c r="K17" s="69"/>
      <c r="L17" s="69"/>
      <c r="M17" s="69"/>
      <c r="N17" s="70"/>
      <c r="O17" s="71"/>
    </row>
    <row r="18" ht="78.0" customHeight="1">
      <c r="A18" s="67">
        <v>8.0</v>
      </c>
      <c r="B18" s="68" t="s">
        <v>162</v>
      </c>
      <c r="C18" s="68" t="s">
        <v>211</v>
      </c>
      <c r="D18" s="68" t="s">
        <v>197</v>
      </c>
      <c r="E18" s="68" t="s">
        <v>212</v>
      </c>
      <c r="F18" s="69"/>
      <c r="G18" s="69"/>
      <c r="H18" s="69"/>
      <c r="I18" s="69"/>
      <c r="J18" s="69"/>
      <c r="K18" s="69"/>
      <c r="L18" s="69"/>
      <c r="M18" s="69"/>
      <c r="N18" s="70"/>
      <c r="O18" s="71"/>
    </row>
    <row r="19" ht="78.0" customHeight="1">
      <c r="A19" s="67">
        <v>9.0</v>
      </c>
      <c r="B19" s="68" t="s">
        <v>162</v>
      </c>
      <c r="C19" s="68" t="s">
        <v>216</v>
      </c>
      <c r="D19" s="68" t="s">
        <v>197</v>
      </c>
      <c r="E19" s="68" t="s">
        <v>217</v>
      </c>
      <c r="F19" s="74" t="s">
        <v>218</v>
      </c>
      <c r="G19" s="75" t="s">
        <v>219</v>
      </c>
      <c r="H19" s="75" t="s">
        <v>220</v>
      </c>
      <c r="I19" s="75" t="s">
        <v>221</v>
      </c>
      <c r="J19" s="75" t="s">
        <v>222</v>
      </c>
      <c r="K19" s="75" t="s">
        <v>223</v>
      </c>
      <c r="L19" s="75" t="s">
        <v>224</v>
      </c>
      <c r="M19" s="69"/>
      <c r="N19" s="70"/>
      <c r="O19" s="71"/>
    </row>
    <row r="20" ht="78.0" customHeight="1">
      <c r="A20" s="67">
        <v>10.0</v>
      </c>
      <c r="B20" s="76" t="s">
        <v>225</v>
      </c>
      <c r="C20" s="76" t="s">
        <v>227</v>
      </c>
      <c r="D20" s="76" t="s">
        <v>229</v>
      </c>
      <c r="E20" s="76" t="s">
        <v>230</v>
      </c>
      <c r="F20" s="69"/>
      <c r="G20" s="69"/>
      <c r="H20" s="69"/>
      <c r="I20" s="69"/>
      <c r="J20" s="69"/>
      <c r="K20" s="69"/>
      <c r="L20" s="69"/>
      <c r="M20" s="69"/>
      <c r="N20" s="70"/>
      <c r="O20" s="71"/>
    </row>
    <row r="21" ht="78.0" customHeight="1">
      <c r="A21" s="67">
        <v>11.0</v>
      </c>
      <c r="B21" s="76" t="s">
        <v>225</v>
      </c>
      <c r="C21" s="76" t="s">
        <v>232</v>
      </c>
      <c r="D21" s="76" t="s">
        <v>229</v>
      </c>
      <c r="E21" s="76" t="s">
        <v>233</v>
      </c>
      <c r="F21" s="69"/>
      <c r="G21" s="69"/>
      <c r="H21" s="69"/>
      <c r="I21" s="69"/>
      <c r="J21" s="69"/>
      <c r="K21" s="69"/>
      <c r="L21" s="69"/>
      <c r="M21" s="69"/>
      <c r="N21" s="70"/>
      <c r="O21" s="71"/>
    </row>
    <row r="22" ht="78.0" customHeight="1">
      <c r="A22" s="67">
        <v>12.0</v>
      </c>
      <c r="B22" s="76" t="s">
        <v>225</v>
      </c>
      <c r="C22" s="76" t="s">
        <v>236</v>
      </c>
      <c r="D22" s="76" t="s">
        <v>229</v>
      </c>
      <c r="E22" s="76" t="s">
        <v>238</v>
      </c>
      <c r="F22" s="69"/>
      <c r="G22" s="69"/>
      <c r="H22" s="69"/>
      <c r="I22" s="69"/>
      <c r="J22" s="69"/>
      <c r="K22" s="69"/>
      <c r="L22" s="69"/>
      <c r="M22" s="69"/>
      <c r="N22" s="70"/>
      <c r="O22" s="71"/>
    </row>
    <row r="23" ht="78.0" customHeight="1">
      <c r="A23" s="67">
        <v>13.0</v>
      </c>
      <c r="B23" s="76" t="s">
        <v>225</v>
      </c>
      <c r="C23" s="76" t="s">
        <v>242</v>
      </c>
      <c r="D23" s="76" t="s">
        <v>229</v>
      </c>
      <c r="E23" s="76" t="s">
        <v>243</v>
      </c>
      <c r="F23" s="69"/>
      <c r="G23" s="69"/>
      <c r="H23" s="69"/>
      <c r="I23" s="69"/>
      <c r="J23" s="69"/>
      <c r="K23" s="69"/>
      <c r="L23" s="69"/>
      <c r="M23" s="69"/>
      <c r="N23" s="70"/>
      <c r="O23" s="71"/>
    </row>
    <row r="24" ht="78.0" customHeight="1">
      <c r="A24" s="67">
        <v>14.0</v>
      </c>
      <c r="B24" s="76" t="s">
        <v>225</v>
      </c>
      <c r="C24" s="76" t="s">
        <v>244</v>
      </c>
      <c r="D24" s="76" t="s">
        <v>229</v>
      </c>
      <c r="E24" s="76" t="s">
        <v>247</v>
      </c>
      <c r="F24" s="69"/>
      <c r="G24" s="69"/>
      <c r="H24" s="69"/>
      <c r="I24" s="69"/>
      <c r="J24" s="69"/>
      <c r="K24" s="69"/>
      <c r="L24" s="69"/>
      <c r="M24" s="69"/>
      <c r="N24" s="70"/>
      <c r="O24" s="71"/>
    </row>
    <row r="25" ht="78.0" customHeight="1">
      <c r="A25" s="67">
        <v>15.0</v>
      </c>
      <c r="B25" s="77" t="s">
        <v>249</v>
      </c>
      <c r="C25" s="77" t="s">
        <v>250</v>
      </c>
      <c r="D25" s="77" t="s">
        <v>229</v>
      </c>
      <c r="E25" s="77" t="s">
        <v>251</v>
      </c>
      <c r="F25" s="69"/>
      <c r="G25" s="69"/>
      <c r="H25" s="69"/>
      <c r="I25" s="69"/>
      <c r="J25" s="69"/>
      <c r="K25" s="69"/>
      <c r="L25" s="69"/>
      <c r="M25" s="69"/>
      <c r="N25" s="70"/>
      <c r="O25" s="71"/>
    </row>
    <row r="26" ht="78.0" customHeight="1">
      <c r="A26" s="67">
        <v>16.0</v>
      </c>
      <c r="B26" s="77" t="s">
        <v>249</v>
      </c>
      <c r="C26" s="77" t="s">
        <v>255</v>
      </c>
      <c r="D26" s="77" t="s">
        <v>256</v>
      </c>
      <c r="E26" s="77" t="s">
        <v>257</v>
      </c>
      <c r="F26" s="69"/>
      <c r="G26" s="75" t="s">
        <v>258</v>
      </c>
      <c r="H26" s="75" t="s">
        <v>259</v>
      </c>
      <c r="I26" s="75" t="s">
        <v>260</v>
      </c>
      <c r="J26" s="75" t="s">
        <v>261</v>
      </c>
      <c r="K26" s="75" t="s">
        <v>262</v>
      </c>
      <c r="L26" s="75" t="s">
        <v>263</v>
      </c>
      <c r="M26" s="69"/>
      <c r="N26" s="70"/>
      <c r="O26" s="71"/>
    </row>
    <row r="27" ht="78.0" customHeight="1">
      <c r="A27" s="67">
        <v>17.0</v>
      </c>
      <c r="B27" s="80" t="s">
        <v>265</v>
      </c>
      <c r="C27" s="80" t="s">
        <v>266</v>
      </c>
      <c r="D27" s="80" t="s">
        <v>268</v>
      </c>
      <c r="E27" s="80" t="s">
        <v>269</v>
      </c>
      <c r="F27" s="74" t="s">
        <v>218</v>
      </c>
      <c r="G27" s="75" t="s">
        <v>272</v>
      </c>
      <c r="H27" s="75" t="s">
        <v>273</v>
      </c>
      <c r="I27" s="75" t="s">
        <v>274</v>
      </c>
      <c r="J27" s="75" t="s">
        <v>275</v>
      </c>
      <c r="K27" s="75" t="s">
        <v>276</v>
      </c>
      <c r="L27" s="75" t="s">
        <v>277</v>
      </c>
      <c r="M27" s="74" t="s">
        <v>279</v>
      </c>
      <c r="N27" s="82">
        <v>2.0</v>
      </c>
      <c r="O27" s="71"/>
    </row>
    <row r="28" ht="78.0" customHeight="1">
      <c r="A28" s="67">
        <v>18.0</v>
      </c>
      <c r="B28" s="80" t="s">
        <v>265</v>
      </c>
      <c r="C28" s="80" t="s">
        <v>280</v>
      </c>
      <c r="D28" s="80" t="s">
        <v>229</v>
      </c>
      <c r="E28" s="80" t="s">
        <v>281</v>
      </c>
      <c r="F28" s="69"/>
      <c r="G28" s="69"/>
      <c r="H28" s="69"/>
      <c r="I28" s="69"/>
      <c r="J28" s="69"/>
      <c r="K28" s="69"/>
      <c r="L28" s="69"/>
      <c r="M28" s="74" t="s">
        <v>279</v>
      </c>
      <c r="N28" s="82">
        <v>3.0</v>
      </c>
      <c r="O28" s="71"/>
    </row>
    <row r="29" ht="78.0" customHeight="1">
      <c r="A29" s="67">
        <v>19.0</v>
      </c>
      <c r="B29" s="80" t="s">
        <v>265</v>
      </c>
      <c r="C29" s="80" t="s">
        <v>284</v>
      </c>
      <c r="D29" s="80" t="s">
        <v>229</v>
      </c>
      <c r="E29" s="80" t="s">
        <v>286</v>
      </c>
      <c r="F29" s="69"/>
      <c r="G29" s="69"/>
      <c r="H29" s="69"/>
      <c r="I29" s="69"/>
      <c r="J29" s="69"/>
      <c r="K29" s="69"/>
      <c r="L29" s="69"/>
      <c r="M29" s="69"/>
      <c r="N29" s="70"/>
      <c r="O29" s="71"/>
    </row>
    <row r="30" ht="78.0" customHeight="1">
      <c r="A30" s="67">
        <v>20.0</v>
      </c>
      <c r="B30" s="83" t="s">
        <v>289</v>
      </c>
      <c r="C30" s="83" t="s">
        <v>290</v>
      </c>
      <c r="D30" s="83" t="s">
        <v>229</v>
      </c>
      <c r="E30" s="83" t="s">
        <v>292</v>
      </c>
      <c r="F30" s="74" t="s">
        <v>218</v>
      </c>
      <c r="G30" s="75" t="s">
        <v>293</v>
      </c>
      <c r="H30" s="75" t="s">
        <v>294</v>
      </c>
      <c r="I30" s="75" t="s">
        <v>295</v>
      </c>
      <c r="J30" s="75" t="s">
        <v>296</v>
      </c>
      <c r="K30" s="75" t="s">
        <v>297</v>
      </c>
      <c r="L30" s="75" t="s">
        <v>298</v>
      </c>
      <c r="M30" s="69"/>
      <c r="N30" s="70"/>
      <c r="O30" s="71"/>
    </row>
    <row r="31" ht="78.0" customHeight="1">
      <c r="A31" s="67">
        <v>21.0</v>
      </c>
      <c r="B31" s="83" t="s">
        <v>289</v>
      </c>
      <c r="C31" s="83" t="s">
        <v>299</v>
      </c>
      <c r="D31" s="83" t="s">
        <v>229</v>
      </c>
      <c r="E31" s="83" t="s">
        <v>300</v>
      </c>
      <c r="F31" s="69"/>
      <c r="G31" s="69"/>
      <c r="H31" s="69"/>
      <c r="I31" s="69"/>
      <c r="J31" s="69"/>
      <c r="K31" s="69"/>
      <c r="L31" s="69"/>
      <c r="M31" s="69"/>
      <c r="N31" s="70"/>
      <c r="O31" s="71"/>
    </row>
    <row r="32" ht="78.0" customHeight="1">
      <c r="A32" s="67">
        <v>22.0</v>
      </c>
      <c r="B32" s="83" t="s">
        <v>289</v>
      </c>
      <c r="C32" s="83" t="s">
        <v>304</v>
      </c>
      <c r="D32" s="83" t="s">
        <v>305</v>
      </c>
      <c r="E32" s="83" t="s">
        <v>306</v>
      </c>
      <c r="F32" s="74" t="s">
        <v>218</v>
      </c>
      <c r="G32" s="75" t="s">
        <v>307</v>
      </c>
      <c r="H32" s="75" t="s">
        <v>308</v>
      </c>
      <c r="I32" s="75" t="s">
        <v>309</v>
      </c>
      <c r="J32" s="75" t="s">
        <v>310</v>
      </c>
      <c r="K32" s="75" t="s">
        <v>311</v>
      </c>
      <c r="L32" s="75" t="s">
        <v>312</v>
      </c>
      <c r="M32" s="69"/>
      <c r="N32" s="70"/>
      <c r="O32" s="71"/>
    </row>
    <row r="33" ht="78.0" customHeight="1">
      <c r="A33" s="67">
        <v>23.0</v>
      </c>
      <c r="B33" s="83" t="s">
        <v>289</v>
      </c>
      <c r="C33" s="83" t="s">
        <v>313</v>
      </c>
      <c r="D33" s="83" t="s">
        <v>229</v>
      </c>
      <c r="E33" s="83" t="s">
        <v>315</v>
      </c>
      <c r="F33" s="69"/>
      <c r="G33" s="69"/>
      <c r="H33" s="69"/>
      <c r="I33" s="69"/>
      <c r="J33" s="69"/>
      <c r="K33" s="69"/>
      <c r="L33" s="69"/>
      <c r="M33" s="69"/>
      <c r="N33" s="70"/>
      <c r="O33" s="71"/>
    </row>
    <row r="34" ht="78.0" customHeight="1">
      <c r="A34" s="67">
        <v>24.0</v>
      </c>
      <c r="B34" s="83" t="s">
        <v>289</v>
      </c>
      <c r="C34" s="83" t="s">
        <v>319</v>
      </c>
      <c r="D34" s="83" t="s">
        <v>229</v>
      </c>
      <c r="E34" s="83" t="s">
        <v>320</v>
      </c>
      <c r="F34" s="69"/>
      <c r="G34" s="69"/>
      <c r="H34" s="69"/>
      <c r="I34" s="69"/>
      <c r="J34" s="69"/>
      <c r="K34" s="69"/>
      <c r="L34" s="69"/>
      <c r="M34" s="69"/>
      <c r="N34" s="70"/>
      <c r="O34" s="71"/>
    </row>
    <row r="35" ht="78.0" customHeight="1">
      <c r="A35" s="67">
        <v>25.0</v>
      </c>
      <c r="B35" s="83" t="s">
        <v>289</v>
      </c>
      <c r="C35" s="83" t="s">
        <v>323</v>
      </c>
      <c r="D35" s="83" t="s">
        <v>229</v>
      </c>
      <c r="E35" s="83" t="s">
        <v>324</v>
      </c>
      <c r="F35" s="69"/>
      <c r="G35" s="69"/>
      <c r="H35" s="69"/>
      <c r="I35" s="69"/>
      <c r="J35" s="69"/>
      <c r="K35" s="69"/>
      <c r="L35" s="69"/>
      <c r="M35" s="69"/>
      <c r="N35" s="70"/>
      <c r="O35" s="71"/>
    </row>
    <row r="36" ht="78.0" customHeight="1">
      <c r="A36" s="67">
        <v>26.0</v>
      </c>
      <c r="B36" s="83" t="s">
        <v>289</v>
      </c>
      <c r="C36" s="83" t="s">
        <v>328</v>
      </c>
      <c r="D36" s="83" t="s">
        <v>329</v>
      </c>
      <c r="E36" s="83" t="s">
        <v>330</v>
      </c>
      <c r="F36" s="74" t="s">
        <v>167</v>
      </c>
      <c r="G36" s="75" t="s">
        <v>332</v>
      </c>
      <c r="H36" s="75" t="s">
        <v>333</v>
      </c>
      <c r="I36" s="75" t="s">
        <v>334</v>
      </c>
      <c r="J36" s="75" t="s">
        <v>335</v>
      </c>
      <c r="K36" s="75" t="s">
        <v>336</v>
      </c>
      <c r="L36" s="75" t="s">
        <v>337</v>
      </c>
      <c r="M36" s="69"/>
      <c r="N36" s="70"/>
      <c r="O36" s="71"/>
    </row>
    <row r="37" ht="78.0" customHeight="1">
      <c r="A37" s="67">
        <v>27.0</v>
      </c>
      <c r="B37" s="88" t="s">
        <v>338</v>
      </c>
      <c r="C37" s="88" t="s">
        <v>339</v>
      </c>
      <c r="D37" s="88" t="s">
        <v>340</v>
      </c>
      <c r="E37" s="88" t="s">
        <v>341</v>
      </c>
      <c r="F37" s="69"/>
      <c r="G37" s="69"/>
      <c r="H37" s="69"/>
      <c r="I37" s="69"/>
      <c r="J37" s="69"/>
      <c r="K37" s="69"/>
      <c r="L37" s="69"/>
      <c r="M37" s="69"/>
      <c r="N37" s="70"/>
      <c r="O37" s="71"/>
    </row>
    <row r="38" ht="78.0" customHeight="1">
      <c r="A38" s="67">
        <v>28.0</v>
      </c>
      <c r="B38" s="88" t="s">
        <v>338</v>
      </c>
      <c r="C38" s="88" t="s">
        <v>342</v>
      </c>
      <c r="D38" s="88" t="s">
        <v>340</v>
      </c>
      <c r="E38" s="88" t="s">
        <v>341</v>
      </c>
      <c r="F38" s="69"/>
      <c r="G38" s="69"/>
      <c r="H38" s="69"/>
      <c r="I38" s="69"/>
      <c r="J38" s="69"/>
      <c r="K38" s="69"/>
      <c r="L38" s="69"/>
      <c r="M38" s="69"/>
      <c r="N38" s="70"/>
      <c r="O38" s="71"/>
    </row>
    <row r="39" ht="78.0" customHeight="1">
      <c r="A39" s="67">
        <v>29.0</v>
      </c>
      <c r="B39" s="88" t="s">
        <v>338</v>
      </c>
      <c r="C39" s="88" t="s">
        <v>343</v>
      </c>
      <c r="D39" s="88" t="s">
        <v>340</v>
      </c>
      <c r="E39" s="88" t="s">
        <v>341</v>
      </c>
      <c r="F39" s="69"/>
      <c r="G39" s="69"/>
      <c r="H39" s="69"/>
      <c r="I39" s="69"/>
      <c r="J39" s="69"/>
      <c r="K39" s="69"/>
      <c r="L39" s="69"/>
      <c r="M39" s="69"/>
      <c r="N39" s="70"/>
      <c r="O39" s="71"/>
    </row>
    <row r="40" ht="78.0" customHeight="1">
      <c r="A40" s="91">
        <v>30.0</v>
      </c>
      <c r="B40" s="92" t="s">
        <v>338</v>
      </c>
      <c r="C40" s="92" t="s">
        <v>344</v>
      </c>
      <c r="D40" s="92" t="s">
        <v>340</v>
      </c>
      <c r="E40" s="92" t="s">
        <v>341</v>
      </c>
      <c r="F40" s="93"/>
      <c r="G40" s="93"/>
      <c r="H40" s="93"/>
      <c r="I40" s="93"/>
      <c r="J40" s="93"/>
      <c r="K40" s="93"/>
      <c r="L40" s="93"/>
      <c r="M40" s="93"/>
      <c r="N40" s="94"/>
      <c r="O40" s="95"/>
    </row>
    <row r="41" ht="14.25" customHeight="1"/>
    <row r="42" ht="42.0" customHeight="1">
      <c r="A42" s="96" t="s">
        <v>345</v>
      </c>
      <c r="B42" s="3"/>
      <c r="C42" s="3"/>
      <c r="D42" s="3"/>
      <c r="E42" s="3"/>
      <c r="F42" s="3"/>
      <c r="G42" s="3"/>
      <c r="H42" s="3"/>
      <c r="I42" s="3"/>
      <c r="J42" s="3"/>
      <c r="K42" s="3"/>
      <c r="L42" s="3"/>
      <c r="M42" s="3"/>
      <c r="N42" s="3"/>
      <c r="O42" s="4"/>
    </row>
    <row r="43" ht="33.75" customHeight="1">
      <c r="A43" s="97" t="s">
        <v>346</v>
      </c>
      <c r="B43" s="3"/>
      <c r="C43" s="3"/>
      <c r="D43" s="3"/>
      <c r="E43" s="3"/>
      <c r="F43" s="3"/>
      <c r="G43" s="3"/>
      <c r="H43" s="3"/>
      <c r="I43" s="3"/>
      <c r="J43" s="3"/>
      <c r="K43" s="3"/>
      <c r="L43" s="3"/>
      <c r="M43" s="3"/>
      <c r="N43" s="3"/>
      <c r="O43" s="4"/>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O1"/>
    <mergeCell ref="A3:O3"/>
    <mergeCell ref="A4:O4"/>
    <mergeCell ref="A42:O42"/>
    <mergeCell ref="A43:O43"/>
  </mergeCells>
  <conditionalFormatting sqref="F11:F40">
    <cfRule type="expression" dxfId="3" priority="1">
      <formula>F11="Hoàn thành &amp; demo được"</formula>
    </cfRule>
  </conditionalFormatting>
  <conditionalFormatting sqref="F11:F40">
    <cfRule type="expression" dxfId="4" priority="2">
      <formula>F11="Hoàn thành nhưng chưa demo"</formula>
    </cfRule>
  </conditionalFormatting>
  <conditionalFormatting sqref="F11:F40">
    <cfRule type="expression" dxfId="5" priority="3">
      <formula>F11="Chưa làm"</formula>
    </cfRule>
  </conditionalFormatting>
  <conditionalFormatting sqref="M11:M40">
    <cfRule type="expression" dxfId="6" priority="4">
      <formula>M11="Có"</formula>
    </cfRule>
  </conditionalFormatting>
  <conditionalFormatting sqref="M11:M40">
    <cfRule type="expression" dxfId="7" priority="5">
      <formula>M11="Không"</formula>
    </cfRule>
  </conditionalFormatting>
  <conditionalFormatting sqref="N11:N40">
    <cfRule type="colorScale" priority="6">
      <colorScale>
        <cfvo type="min"/>
        <cfvo type="percentile" val="50"/>
        <cfvo type="max"/>
        <color rgb="FFF4CCCC"/>
        <color rgb="FFFFE599"/>
        <color rgb="FFB6D7A8"/>
      </colorScale>
    </cfRule>
  </conditionalFormatting>
  <dataValidations>
    <dataValidation type="list" allowBlank="1" sqref="F11:F40">
      <formula1>"Chưa làm,Đang làm,Hoàn thành nhưng chưa demo,Hoàn thành &amp; demo được"</formula1>
    </dataValidation>
    <dataValidation type="list" allowBlank="1" sqref="N11:N40">
      <formula1>"0,1,2,3"</formula1>
    </dataValidation>
    <dataValidation type="list" allowBlank="1" sqref="M11:M40">
      <formula1>"Không,Có"</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tvquy</dc:creator>
</cp:coreProperties>
</file>